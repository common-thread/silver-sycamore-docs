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Saloon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<sst xmlns="http://schemas.openxmlformats.org/spreadsheetml/2006/main" count="432" uniqueCount="359">
  <si>
    <t>Silver Sycamore  - Intimate Wedding Details Planner</t>
  </si>
  <si>
    <t>Date(s) Booked:</t>
  </si>
  <si>
    <t>Bride:</t>
  </si>
  <si>
    <t>Groom:</t>
  </si>
  <si>
    <t>Person Completing Form:</t>
  </si>
  <si>
    <t>(List your name here please)</t>
  </si>
  <si>
    <t>Your Role in Big Day:</t>
  </si>
  <si>
    <t>(Bride? Groom? MOH? MOB?)</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</si>
  <si>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</si>
  <si>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</si>
  <si>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</si>
  <si>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</si>
  <si>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</si>
  <si>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</si>
  <si>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</si>
  <si>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</si>
  <si>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</si>
  <si>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</si>
  <si>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</si>
  <si>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</si>
  <si>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</si>
  <si>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</si>
  <si>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</si>
  <si>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Bridal Party Announced/Formal Photos in Chapel</t>
  </si>
  <si>
    <t>Dinner Serivce</t>
  </si>
  <si>
    <t>Cake Cutting</t>
  </si>
  <si>
    <t>Toasts</t>
  </si>
  <si>
    <t>First Dance/Special Dances</t>
  </si>
  <si>
    <t>Bouquet and Garter Toss</t>
  </si>
  <si>
    <t>Grand Exit</t>
  </si>
  <si>
    <t>Bar Closes</t>
  </si>
  <si>
    <t>Event Ends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</si>
  <si>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</si>
  <si>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</si>
  <si>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</si>
  <si>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</si>
  <si>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</si>
  <si>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</si>
  <si>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</si>
  <si>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</si>
  <si>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</si>
  <si>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</si>
  <si>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</si>
  <si>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</si>
  <si>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</si>
  <si>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</si>
  <si>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</si>
  <si>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 xml:space="preserve">DJ / Band (if applicable) </t>
  </si>
  <si>
    <t>Videographer</t>
  </si>
  <si>
    <t>Bar Service</t>
  </si>
  <si>
    <t>SILVER SYCAMORE</t>
  </si>
  <si>
    <t>Wedding Day Caterer if not SS</t>
  </si>
  <si>
    <t>Rehearsal Dinner location (if rented Silver Sycamore for Rehearsal Dinner)</t>
  </si>
  <si>
    <t>Florist</t>
  </si>
  <si>
    <t>Photo Booth</t>
  </si>
  <si>
    <t>Cake/Sweets</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</si>
  <si>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</si>
  <si>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</si>
  <si>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</si>
  <si>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</si>
  <si>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</si>
  <si>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</si>
  <si>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</si>
  <si>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</si>
  <si>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</si>
  <si>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Have you set time for Rehearsal at Silver Sycamore ?</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</si>
  <si>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</si>
  <si>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</si>
  <si>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Choose your (rain/extreme heat/extreme cold) backup for your ceremony if outside at Gazebos. Read note to right of pink cell.</t>
  </si>
  <si>
    <t>Choose Your Rain Option</t>
  </si>
  <si>
    <r>
      <rPr>
        <rFont val="Calibri,Arial"/>
      </rPr>
      <t xml:space="preserve">You </t>
    </r>
    <r>
      <rPr>
        <rFont val="Calibri,Arial"/>
        <b/>
      </rPr>
      <t xml:space="preserve">must choose </t>
    </r>
    <r>
      <rPr>
        <rFont val="Calibri,Arial"/>
      </rPr>
      <t xml:space="preserve">an option in case of rain. </t>
    </r>
  </si>
  <si>
    <t>If NOT utilizing the Chapel ceremony how many ceremony chairs do you need?</t>
  </si>
  <si>
    <t>Maximum White Garden Chairs available for outside is 100</t>
  </si>
  <si>
    <t>Will you be having a Sand Ceremony and need a table?</t>
  </si>
  <si>
    <t>Let us know if you have any type of special ceremony during the Ceremony requiring a table. No Candles or open flames allowed in the Chapel.</t>
  </si>
  <si>
    <t>When the Ceremony Starts would you like doors locked or let latecomers to enter?</t>
  </si>
  <si>
    <t>Silver Sycamore will NOT provide music for the ceremony. Do you have a phone or tablet to play your desired songs for the ceremony?</t>
  </si>
  <si>
    <t>*Please note that the coordinator will queue the songs during the ceremony</t>
  </si>
  <si>
    <t>Will you be having Musicians (string quartet or singer) play at Ceremony?</t>
  </si>
  <si>
    <t>Please state where they will be seated: by stage or in balcony</t>
  </si>
  <si>
    <t>Did you know Silver Sycamore  staff may begin cleanup of the ceremony area decor following the completion of formal photos?</t>
  </si>
  <si>
    <t>Silver Sycamore will not pick up or removed decor but we will clean up and straighten chairs</t>
  </si>
  <si>
    <t>Did you know all Decor in Chapel or Ceremony Site must be removed at the end of the evening and nothing may be left over night?</t>
  </si>
  <si>
    <t>Did you know real flower petals are not allowed in the Chapel?</t>
  </si>
  <si>
    <t>Did you know that no open flames/candles are allowed in the Chapel?</t>
  </si>
  <si>
    <t>Silver Sycamore does not have ladders for vendors use to set up decor, please let vendors know they must bring their own ladder and padding to protect surfaces</t>
  </si>
  <si>
    <t>Have you completed your Wedding Processional Information sheet PDF?</t>
  </si>
  <si>
    <t>Reception Setup Questions</t>
  </si>
  <si>
    <t>What location will the Reception be held?</t>
  </si>
  <si>
    <t>Who or what will you use to play music during your reception?</t>
  </si>
  <si>
    <t>*Please note that SS's Google Home will only play genres of music and not specific songs</t>
  </si>
  <si>
    <t>Silver Sycamore will make the decision the day before to move Reception to an indoor location in case of inclement weather.</t>
  </si>
  <si>
    <t xml:space="preserve">If your reception is in the Town, would you prefer the buffet line to be in the Saloon or outside under a tent? </t>
  </si>
  <si>
    <t>How many tables guestbook/ place cards/etc?</t>
  </si>
  <si>
    <t>Sign-In Table</t>
  </si>
  <si>
    <t>If outside, will you be using the Cake Gazebo  for the Cake table?</t>
  </si>
  <si>
    <t>What size Cake table do you want?</t>
  </si>
  <si>
    <t>Do you have your own  Cake Service  Set  and Toasting Flutes</t>
  </si>
  <si>
    <t>*No extra charge to use Silver Sycamore's</t>
  </si>
  <si>
    <t>Cake Cutting Set</t>
  </si>
  <si>
    <t>Champagne Flutes</t>
  </si>
  <si>
    <t xml:space="preserve">What will your Cake topper be? </t>
  </si>
  <si>
    <t>Will you have a sweetheart table or head table?</t>
  </si>
  <si>
    <t>How many tables for the bridal party to be reserved?</t>
  </si>
  <si>
    <t xml:space="preserve">Round tables seat 8- 10; 6 ft tables seat 6 guests         </t>
  </si>
  <si>
    <t>How many tables Reserved for the Family?</t>
  </si>
  <si>
    <t>***It is very important to reserve tables for Family and Bridal Party**</t>
  </si>
  <si>
    <t xml:space="preserve">Will you bring in runners to lay on top of white linens?
Overlays?
ChairTies? </t>
  </si>
  <si>
    <t>*Please note that any extra linens must be given to coordinator the day before wedding and they must be taken off the same night of the wedding*</t>
  </si>
  <si>
    <t>Any extra tables needed? if so , which size and where do you need them?</t>
  </si>
  <si>
    <t>Are you assigning seats to your guests?</t>
  </si>
  <si>
    <t xml:space="preserve">What size dance floor are you using outside?        </t>
  </si>
  <si>
    <t>Small 12 x15, (up to 100 guests)  Medium 15x 18,(up to 150 guest )     Large 18 x24, (up to 200 guests)                Ex Large 24 x30 ( over 200 guests)</t>
  </si>
  <si>
    <t xml:space="preserve">Will you be doing a first dance or any special dances? </t>
  </si>
  <si>
    <t>Are you bringing Centerpieces or using  Silver Sycamore's  Something Borrowed  Shelves</t>
  </si>
  <si>
    <t>If receptin is outside, do you want round table set up or  "Aubrey Style set up?</t>
  </si>
  <si>
    <t xml:space="preserve">If reception is in the Saloon, do you want round or banquet tables? </t>
  </si>
  <si>
    <t>Is the layout on the "Venue layout" tab in this document final, or do you want us to make modifications we see necessary to best fit the space?</t>
  </si>
  <si>
    <t>Any extra Rental Items like Heater/Coolers or amusments</t>
  </si>
  <si>
    <t>Additional Reception Questions</t>
  </si>
  <si>
    <t>Will you have alcohol?</t>
  </si>
  <si>
    <t>Miller Lite, Bud Light, and 2 beers of your choice</t>
  </si>
  <si>
    <t>Will you take couples pictures around the property before or after the ceremony?</t>
  </si>
  <si>
    <t>Do you approve Silver Sycamore  "going live" on social media from your event?</t>
  </si>
  <si>
    <t>Do you have someone to cut the cake if Venue Rental only?</t>
  </si>
  <si>
    <t>For Venue Rental only there is no staff on site for cutting the cake</t>
  </si>
  <si>
    <t>Will someone be releasing tables to eat dinner, or after the bridal party is in line anyone is welcome to join?</t>
  </si>
  <si>
    <t>This can be performed by the Coordinator in your package. Unless Venue Rental only</t>
  </si>
  <si>
    <t>End of Reception Questions</t>
  </si>
  <si>
    <t xml:space="preserve">What will your exit be with? </t>
  </si>
  <si>
    <t>Who have you assigned (person/persons) to remove all decor items?</t>
  </si>
  <si>
    <t>Who Have you assigned (person/persons) to remove all items from the bridal cottage and jail?</t>
  </si>
  <si>
    <t>Did you know the staff will go in Bridal Cottage and Jail to start the cleanup before the event is over ?</t>
  </si>
  <si>
    <t>Misc. Silver Sycamore Questions</t>
  </si>
  <si>
    <t>Did you know you can find a list of our favorite vendors who are familiar at working at Silver Sycamore  on the preferred vendor page in you folder?</t>
  </si>
  <si>
    <t>MANY minor wedding day hiccups can be avoided by rereading your Silver Sycamore contract. We want your day to be as flawless as you've imagined! Have you recently reread your contract?</t>
  </si>
  <si>
    <t>&lt;--This is really important :)</t>
  </si>
  <si>
    <t>Do you want to email your credit card information, or have us call you to get it? (We need to have on file in case of damages.)</t>
  </si>
  <si>
    <t>There is a $1000 damage deposit by check or credit card on file.</t>
  </si>
  <si>
    <t>What is the best phone number / email address to reach you at?</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</si>
  <si>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</si>
  <si>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rPr>
      <t>Did you know that a TEAM of folks help make wedding day magic happen here at Silver Sycamore ? We will schedule a coordinator to be here with you throughout your wedding day, and add a second team member before the ceremony.                        **If you are "</t>
    </r>
    <r>
      <rPr>
        <rFont val="Calibri"/>
        <b/>
      </rPr>
      <t>Venue Rental Only</t>
    </r>
    <r>
      <rPr>
        <rFont val="Calibri"/>
      </rPr>
      <t>" , please be prepared to bring your own Team for all set up***</t>
    </r>
  </si>
  <si>
    <t>Please see the additional reminders BELOW the yellow box, and complete the yellow box.</t>
  </si>
  <si>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</si>
  <si>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</si>
  <si>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Do you have any other details you want us to know about? (Reminder we cannot be responsible for all decorating, but are absolutely willing to help!)</t>
  </si>
  <si>
    <t>Reminders:</t>
  </si>
  <si>
    <t xml:space="preserve"> There is no smoking except in designated areas and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</si>
  <si>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</si>
  <si>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</si>
  <si>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</si>
  <si>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</si>
  <si>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</si>
  <si>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</si>
  <si>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</si>
  <si>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</si>
  <si>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If you have rented napkins, they will also be on the table. </t>
  </si>
  <si>
    <t xml:space="preserve">Wedding Date: </t>
  </si>
  <si>
    <t xml:space="preserve">Music Concludes/ Event Ends </t>
  </si>
  <si>
    <t>Desiin maker phone number</t>
  </si>
  <si>
    <t>DJ / Band if not SS</t>
  </si>
  <si>
    <t>Ceremony Location</t>
  </si>
  <si>
    <t>Reception Location</t>
  </si>
  <si>
    <t>Would you prefer food service outside or in Saloon if have a Town Reception?</t>
  </si>
  <si>
    <t>Any extra Rental Items like Heater/Coolers or amusements</t>
  </si>
  <si>
    <t xml:space="preserve">Date: </t>
  </si>
  <si>
    <t xml:space="preserve">Bride: </t>
  </si>
  <si>
    <t>Venue Layout</t>
  </si>
  <si>
    <t>**DO NOT DELETE TABLES - DRAG THEM OFF THE LAYOUT IF YOU DON'T NEED THEM</t>
  </si>
  <si>
    <t>**DO NOT CHANGE THE SIZE OF ANY OF THE TABLES BELOW. THEY ARE ROUGHLY TO SCALE.</t>
  </si>
  <si>
    <t>20 IS THE MAX NUMBER OF TABLES WITH A DANCE FLOOR</t>
  </si>
  <si>
    <t xml:space="preserve">Date </t>
  </si>
  <si>
    <t>Bride</t>
  </si>
  <si>
    <t>Groom</t>
  </si>
  <si>
    <t>Saloon Layout</t>
  </si>
  <si>
    <t>**Do not delete tables. Drag them off the layout if you do not need them**</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</si>
  <si>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</si>
  <si>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</si>
  <si>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</si>
  <si>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</si>
  <si>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</si>
  <si>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</si>
  <si>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</si>
  <si>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</si>
  <si>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</si>
  <si>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</si>
  <si>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</si>
  <si>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</si>
  <si>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</si>
  <si>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</si>
  <si>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</si>
  <si>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</si>
  <si>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</si>
  <si>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</si>
  <si>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</si>
  <si>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</si>
  <si>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</si>
  <si>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</si>
  <si>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</si>
  <si>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</si>
  <si>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</si>
  <si>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</si>
  <si>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</si>
  <si>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</si>
  <si>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</si>
  <si>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</si>
  <si>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</si>
  <si>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</si>
  <si>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</si>
  <si>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</si>
  <si>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</si>
  <si>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</si>
  <si>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</si>
  <si>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</si>
  <si>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</si>
  <si>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</si>
  <si>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</si>
  <si>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</si>
  <si>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</si>
  <si>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</si>
  <si>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</si>
  <si>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</si>
  <si>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</si>
  <si>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</si>
  <si>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</si>
  <si>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</si>
  <si>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</si>
  <si>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</si>
  <si>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</si>
  <si>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</si>
  <si>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</si>
  <si>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</si>
  <si>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</si>
  <si>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</si>
  <si>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</si>
  <si>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</si>
  <si>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</si>
  <si>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</si>
  <si>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</si>
  <si>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</si>
  <si>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</si>
  <si>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</si>
  <si>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</si>
  <si>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</si>
  <si>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</si>
  <si>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</si>
  <si>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</si>
  <si>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</si>
  <si>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</si>
  <si>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</si>
  <si>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</si>
  <si>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</si>
  <si>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</si>
  <si>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</si>
  <si>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</si>
  <si>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</si>
  <si>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</si>
  <si>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</si>
  <si>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</si>
  <si>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</si>
  <si>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</si>
  <si>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</si>
  <si>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</si>
  <si>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</si>
  <si>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</si>
  <si>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</si>
  <si>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</si>
  <si>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</si>
  <si>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</si>
  <si>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</si>
  <si>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DJ/band (optional)</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</si>
  <si>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</si>
  <si>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</si>
  <si>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</si>
  <si>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</si>
  <si>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</si>
  <si>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</si>
  <si>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</si>
  <si>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</si>
  <si>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</si>
  <si>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</si>
  <si>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</si>
  <si>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</si>
  <si>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</si>
  <si>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</si>
  <si>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</si>
  <si>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</si>
  <si>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</si>
  <si>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</si>
  <si>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</si>
  <si>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</si>
  <si>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</si>
  <si>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</si>
  <si>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</si>
  <si>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</si>
  <si>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</si>
  <si>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</si>
  <si>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</si>
  <si>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</si>
  <si>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</si>
  <si>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</si>
  <si>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</si>
  <si>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</si>
  <si>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</si>
  <si>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</si>
  <si>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</si>
  <si>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</si>
  <si>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</si>
  <si>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</si>
  <si>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</si>
  <si>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</si>
  <si>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</si>
  <si>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</si>
  <si>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Yes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</si>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</sst>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h:mm:ss am/pm"/>
    <numFmt numFmtId="166" formatCode="h&quot;:&quot;mm&quot;:&quot;ss&quot; &quot;am/pm"/>
    <numFmt numFmtId="167" formatCode="h:mm am/pm"/>
    <numFmt numFmtId="168" formatCode="m/d/yyyy"/>
  </numFmts>
  <fonts count="45">
    <font>
      <sz val="10.0"/>
      <color rgb="FF000000"/>
      <name val="Arial"/>
    </font>
    <font>
      <b/>
      <sz val="24.0"/>
      <name val="Calibri"/>
    </font>
    <font>
      <name val="Calibri"/>
    </font>
    <font>
      <b/>
      <name val="Calibri"/>
    </font>
    <font/>
    <font>
      <b/>
      <sz val="18.0"/>
      <name val="Calibri"/>
    </font>
    <font>
      <sz val="18.0"/>
      <name val="Calibri"/>
    </font>
    <font>
      <b/>
      <i/>
      <u/>
      <name val="Calibri"/>
    </font>
    <font>
      <b/>
      <u/>
      <name val="Calibri"/>
    </font>
    <font>
      <b/>
      <sz val="16.0"/>
      <name val="Calibri"/>
    </font>
    <font>
      <b/>
      <u/>
      <sz val="14.0"/>
      <name val="Calibri"/>
    </font>
    <font>
      <sz val="14.0"/>
      <color rgb="FF1155CC"/>
      <name val="Calibri"/>
    </font>
    <font>
      <sz val="14.0"/>
      <name val="Calibri"/>
    </font>
    <font>
      <u/>
      <color rgb="FF0000FF"/>
      <name val="Calibri"/>
    </font>
    <font>
      <u/>
      <color rgb="FF1155CC"/>
      <name val="Calibri"/>
    </font>
    <font>
      <u/>
      <color rgb="FF0000FF"/>
      <name val="Calibri"/>
    </font>
    <font>
      <b/>
      <u/>
      <sz val="14.0"/>
      <color rgb="FF1155CC"/>
      <name val="Calibri"/>
    </font>
    <font>
      <sz val="10.0"/>
      <color rgb="FF000000"/>
      <name val="Calibri"/>
    </font>
    <font>
      <u/>
      <color rgb="FF0000FF"/>
      <name val="Calibri"/>
    </font>
    <font>
      <b/>
      <u/>
      <sz val="14.0"/>
      <color rgb="FF1155CC"/>
      <name val="Calibri"/>
    </font>
    <font>
      <b/>
      <sz val="14.0"/>
      <name val="Calibri"/>
    </font>
    <font>
      <b/>
      <sz val="20.0"/>
      <name val="Calibri"/>
    </font>
    <font>
      <b/>
      <sz val="12.0"/>
      <name val="Calibri"/>
    </font>
    <font>
      <name val="Arial"/>
    </font>
    <font>
      <b/>
      <sz val="12.0"/>
      <color rgb="FF1155CC"/>
    </font>
    <font>
      <sz val="12.0"/>
    </font>
    <font>
      <color rgb="FF000000"/>
    </font>
    <font>
      <b/>
      <sz val="12.0"/>
      <color rgb="FF1155CC"/>
      <name val="Calibri"/>
    </font>
    <font>
      <b/>
      <sz val="12.0"/>
      <color rgb="FF1155CC"/>
      <name val="Arial"/>
    </font>
    <font>
      <b/>
    </font>
    <font>
      <b/>
      <sz val="18.0"/>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5">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164" xfId="0" applyAlignment="1" applyBorder="1" applyFill="1" applyFont="1" applyNumberForma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7" numFmtId="0" xfId="0" applyAlignment="1" applyFont="1">
      <alignment horizontal="right" readingOrder="0"/>
    </xf>
    <xf borderId="0" fillId="0" fontId="3" numFmtId="0" xfId="0" applyFont="1"/>
    <xf borderId="0" fillId="0" fontId="8" numFmtId="0" xfId="0" applyAlignment="1" applyFont="1">
      <alignment horizontal="center" readingOrder="0"/>
    </xf>
    <xf borderId="0" fillId="0" fontId="3" numFmtId="0" xfId="0" applyAlignment="1" applyFont="1">
      <alignment readingOrder="0" vertical="center"/>
    </xf>
    <xf borderId="0" fillId="0" fontId="3" numFmtId="0" xfId="0" applyAlignment="1" applyFont="1">
      <alignment horizontal="right" readingOrder="0"/>
    </xf>
    <xf borderId="0" fillId="2" fontId="3" numFmtId="165" xfId="0" applyAlignment="1" applyFont="1" applyNumberFormat="1">
      <alignment horizontal="center" readingOrder="0"/>
    </xf>
    <xf borderId="0" fillId="3" fontId="3" numFmtId="166" xfId="0" applyAlignment="1" applyFont="1" applyNumberFormat="1">
      <alignment horizontal="center" readingOrder="0"/>
    </xf>
    <xf borderId="0" fillId="5" fontId="3" numFmtId="166" xfId="0" applyAlignment="1" applyFill="1" applyFont="1" applyNumberFormat="1">
      <alignment horizontal="center"/>
    </xf>
    <xf borderId="0" fillId="5" fontId="3" numFmtId="166" xfId="0" applyAlignment="1" applyFont="1" applyNumberFormat="1">
      <alignment horizontal="center" readingOrder="0"/>
    </xf>
    <xf borderId="0" fillId="0" fontId="2" numFmtId="0" xfId="0" applyAlignment="1" applyFont="1">
      <alignment horizontal="right" readingOrder="0" shrinkToFit="0" wrapText="1"/>
    </xf>
    <xf borderId="0" fillId="0" fontId="3" numFmtId="0" xfId="0" applyAlignment="1" applyFont="1">
      <alignment readingOrder="0"/>
    </xf>
    <xf borderId="0" fillId="0" fontId="3" numFmtId="0" xfId="0" applyAlignment="1" applyFont="1">
      <alignment vertical="center"/>
    </xf>
    <xf borderId="0" fillId="3" fontId="2" numFmtId="0" xfId="0" applyAlignment="1" applyFont="1">
      <alignment readingOrder="0"/>
    </xf>
    <xf borderId="0" fillId="3" fontId="2" numFmtId="0" xfId="0" applyAlignment="1" applyFont="1">
      <alignment readingOrder="0" vertical="center"/>
    </xf>
    <xf borderId="0" fillId="3" fontId="2" numFmtId="0" xfId="0" applyAlignment="1" applyFont="1">
      <alignment vertical="center"/>
    </xf>
    <xf borderId="0" fillId="6" fontId="2" numFmtId="0" xfId="0" applyAlignment="1" applyFill="1" applyFont="1">
      <alignment vertical="center"/>
    </xf>
    <xf borderId="0" fillId="6" fontId="2" numFmtId="0" xfId="0" applyFont="1"/>
    <xf borderId="0" fillId="2" fontId="2" numFmtId="0" xfId="0" applyAlignment="1" applyFont="1">
      <alignment readingOrder="0"/>
    </xf>
    <xf borderId="0" fillId="2" fontId="2" numFmtId="0" xfId="0" applyAlignment="1" applyFont="1">
      <alignment readingOrder="0" vertical="center"/>
    </xf>
    <xf borderId="0" fillId="2" fontId="2" numFmtId="0" xfId="0" applyAlignment="1" applyFont="1">
      <alignment vertical="center"/>
    </xf>
    <xf borderId="0" fillId="3" fontId="2" numFmtId="0" xfId="0" applyFont="1"/>
    <xf borderId="0" fillId="0" fontId="2" numFmtId="0" xfId="0" applyAlignment="1" applyFont="1">
      <alignment readingOrder="0"/>
    </xf>
    <xf borderId="0" fillId="0" fontId="2" numFmtId="0" xfId="0" applyAlignment="1" applyFont="1">
      <alignment readingOrder="0" shrinkToFit="0" wrapText="1"/>
    </xf>
    <xf borderId="0" fillId="7" fontId="2" numFmtId="0" xfId="0" applyFill="1" applyFont="1"/>
    <xf borderId="0" fillId="7" fontId="2" numFmtId="0" xfId="0" applyAlignment="1" applyFont="1">
      <alignment vertical="center"/>
    </xf>
    <xf borderId="0" fillId="0" fontId="9" numFmtId="0" xfId="0" applyAlignment="1" applyFont="1">
      <alignment readingOrder="0"/>
    </xf>
    <xf borderId="0" fillId="0" fontId="10" numFmtId="0" xfId="0" applyAlignment="1" applyFont="1">
      <alignment horizontal="left" readingOrder="0" vertical="center"/>
    </xf>
    <xf borderId="0" fillId="0" fontId="2" numFmtId="0" xfId="0" applyAlignment="1" applyFont="1">
      <alignment readingOrder="0" shrinkToFit="0" vertical="center" wrapText="1"/>
    </xf>
    <xf borderId="0" fillId="0" fontId="4" numFmtId="0" xfId="0" applyAlignment="1" applyFont="1">
      <alignment readingOrder="0" shrinkToFit="0" wrapText="0"/>
    </xf>
    <xf borderId="0" fillId="0" fontId="4" numFmtId="0" xfId="0" applyAlignment="1" applyFont="1">
      <alignment shrinkToFit="0" wrapText="1"/>
    </xf>
    <xf borderId="0" fillId="0" fontId="11" numFmtId="0" xfId="0" applyAlignment="1" applyFont="1">
      <alignment horizontal="center" readingOrder="0" vertical="center"/>
    </xf>
    <xf borderId="0" fillId="0" fontId="11"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3" numFmtId="0" xfId="0" applyAlignment="1" applyFont="1">
      <alignment vertical="center"/>
    </xf>
    <xf borderId="0" fillId="7" fontId="2" numFmtId="0" xfId="0" applyAlignment="1" applyFont="1">
      <alignment readingOrder="0"/>
    </xf>
    <xf borderId="0" fillId="0" fontId="2" numFmtId="0" xfId="0" applyAlignment="1" applyFont="1">
      <alignment readingOrder="0" vertical="center"/>
    </xf>
    <xf borderId="0" fillId="0" fontId="14" numFmtId="0" xfId="0" applyAlignment="1" applyFont="1">
      <alignment readingOrder="0" vertical="center"/>
    </xf>
    <xf borderId="0" fillId="0" fontId="15"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horizontal="center" readingOrder="0" shrinkToFit="0" vertical="center" wrapText="1"/>
    </xf>
    <xf borderId="0" fillId="0" fontId="18" numFmtId="0" xfId="0" applyAlignment="1" applyFont="1">
      <alignment readingOrder="0" shrinkToFit="0" vertical="center" wrapText="1"/>
    </xf>
    <xf borderId="0" fillId="0" fontId="2" numFmtId="0" xfId="0" applyAlignment="1" applyFont="1">
      <alignment readingOrder="0" shrinkToFit="0" vertical="center" wrapText="1"/>
    </xf>
    <xf borderId="0" fillId="0" fontId="19" numFmtId="0" xfId="0" applyAlignment="1" applyFont="1">
      <alignment horizontal="center" readingOrder="0" vertical="center"/>
    </xf>
    <xf borderId="0" fillId="0" fontId="20" numFmtId="0" xfId="0" applyAlignment="1" applyFont="1">
      <alignment readingOrder="0" vertical="center"/>
    </xf>
    <xf borderId="0" fillId="0" fontId="12"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12" numFmtId="0" xfId="0" applyAlignment="1" applyFill="1" applyFont="1">
      <alignment readingOrder="0" shrinkToFit="0" vertical="top" wrapText="1"/>
    </xf>
    <xf borderId="0" fillId="8" fontId="21" numFmtId="0" xfId="0" applyAlignment="1" applyFont="1">
      <alignment shrinkToFit="0" vertical="bottom" wrapText="1"/>
    </xf>
    <xf borderId="0" fillId="0" fontId="22" numFmtId="0" xfId="0" applyAlignment="1" applyFont="1">
      <alignment readingOrder="0" shrinkToFit="0" vertical="bottom" wrapText="0"/>
    </xf>
    <xf borderId="0" fillId="0" fontId="23" numFmtId="0" xfId="0" applyFont="1"/>
    <xf borderId="0" fillId="0" fontId="23" numFmtId="0" xfId="0" applyAlignment="1" applyFont="1">
      <alignment vertical="bottom"/>
    </xf>
    <xf borderId="0" fillId="0" fontId="22" numFmtId="0" xfId="0" applyAlignment="1" applyFont="1">
      <alignment shrinkToFit="0" vertical="bottom" wrapText="0"/>
    </xf>
    <xf borderId="0" fillId="8" fontId="21" numFmtId="0" xfId="0" applyAlignment="1" applyFont="1">
      <alignment readingOrder="0" shrinkToFit="0" vertical="bottom" wrapText="1"/>
    </xf>
    <xf borderId="0" fillId="0" fontId="22" numFmtId="0" xfId="0" applyAlignment="1" applyFont="1">
      <alignment readingOrder="0" shrinkToFit="0" vertical="center" wrapText="0"/>
    </xf>
    <xf borderId="0" fillId="0" fontId="22" numFmtId="0" xfId="0" applyAlignment="1" applyFont="1">
      <alignment readingOrder="0" shrinkToFit="0" vertical="bottom" wrapText="1"/>
    </xf>
    <xf borderId="0" fillId="0" fontId="24" numFmtId="0" xfId="0" applyAlignment="1" applyFont="1">
      <alignment readingOrder="0"/>
    </xf>
    <xf borderId="0" fillId="0" fontId="25" numFmtId="164" xfId="0" applyFont="1" applyNumberFormat="1"/>
    <xf borderId="0" fillId="0" fontId="25" numFmtId="0" xfId="0" applyFont="1"/>
    <xf borderId="0" fillId="0" fontId="25" numFmtId="0" xfId="0" applyFont="1"/>
    <xf borderId="0" fillId="0" fontId="26" numFmtId="0" xfId="0" applyAlignment="1" applyFont="1">
      <alignment shrinkToFit="0" wrapText="1"/>
    </xf>
    <xf borderId="0" fillId="0" fontId="27" numFmtId="0" xfId="0" applyAlignment="1" applyFont="1">
      <alignment horizontal="right" readingOrder="0"/>
    </xf>
    <xf borderId="0" fillId="0" fontId="25" numFmtId="166" xfId="0" applyFont="1" applyNumberFormat="1"/>
    <xf borderId="0" fillId="0" fontId="27" numFmtId="0" xfId="0" applyAlignment="1" applyFont="1">
      <alignment horizontal="right" readingOrder="0" shrinkToFit="0" wrapText="1"/>
    </xf>
    <xf borderId="0" fillId="0" fontId="24" numFmtId="0" xfId="0" applyAlignment="1" applyFont="1">
      <alignment readingOrder="0" shrinkToFit="0" wrapText="1"/>
    </xf>
    <xf borderId="0" fillId="0" fontId="24" numFmtId="0" xfId="0" applyFont="1"/>
    <xf borderId="0" fillId="0" fontId="28" numFmtId="0" xfId="0" applyAlignment="1" applyFont="1">
      <alignment horizontal="right" readingOrder="0"/>
    </xf>
    <xf borderId="0" fillId="0" fontId="28" numFmtId="0" xfId="0" applyAlignment="1" applyFont="1">
      <alignment horizontal="right" readingOrder="0" shrinkToFit="0" wrapText="1"/>
    </xf>
    <xf borderId="0" fillId="0" fontId="25" numFmtId="0" xfId="0" applyAlignment="1" applyFont="1">
      <alignment readingOrder="0" shrinkToFit="0" wrapText="1"/>
    </xf>
    <xf borderId="0" fillId="0" fontId="4" numFmtId="0" xfId="0" applyAlignment="1" applyFont="1">
      <alignment readingOrder="0"/>
    </xf>
    <xf borderId="0" fillId="0" fontId="29" numFmtId="164" xfId="0" applyAlignment="1" applyFont="1" applyNumberFormat="1">
      <alignment shrinkToFit="0" wrapText="1"/>
    </xf>
    <xf borderId="0" fillId="0" fontId="4" numFmtId="0" xfId="0" applyAlignment="1" applyFont="1">
      <alignment readingOrder="0"/>
    </xf>
    <xf borderId="0" fillId="0" fontId="29" numFmtId="0" xfId="0" applyAlignment="1" applyFont="1">
      <alignment shrinkToFit="0" wrapText="1"/>
    </xf>
    <xf borderId="0" fillId="0" fontId="29" numFmtId="0" xfId="0" applyFont="1"/>
    <xf borderId="0" fillId="0" fontId="4" numFmtId="0" xfId="0" applyAlignment="1" applyFont="1">
      <alignment horizontal="right" readingOrder="0"/>
    </xf>
    <xf borderId="0" fillId="0" fontId="1" numFmtId="0" xfId="0" applyAlignment="1" applyFont="1">
      <alignment horizontal="left" readingOrder="0"/>
    </xf>
    <xf borderId="0" fillId="9" fontId="4" numFmtId="0" xfId="0" applyAlignment="1" applyFill="1" applyFont="1">
      <alignment readingOrder="0"/>
    </xf>
    <xf borderId="0" fillId="0" fontId="29" numFmtId="0" xfId="0" applyAlignment="1" applyFont="1">
      <alignment readingOrder="0" shrinkToFit="0" wrapText="1"/>
    </xf>
    <xf borderId="0" fillId="0" fontId="30" numFmtId="0" xfId="0" applyAlignment="1" applyFont="1">
      <alignment readingOrder="0"/>
    </xf>
    <xf borderId="0" fillId="9" fontId="4" numFmtId="0" xfId="0" applyFont="1"/>
    <xf borderId="0" fillId="9" fontId="31" numFmtId="0" xfId="0" applyAlignment="1" applyFont="1">
      <alignment readingOrder="0" shrinkToFit="0" vertical="center" wrapText="1"/>
    </xf>
    <xf borderId="0" fillId="0" fontId="32" numFmtId="0" xfId="0" applyAlignment="1" applyFont="1">
      <alignment readingOrder="0"/>
    </xf>
    <xf borderId="0" fillId="10" fontId="4" numFmtId="0" xfId="0" applyAlignment="1" applyFill="1" applyFont="1">
      <alignment readingOrder="0"/>
    </xf>
    <xf borderId="0" fillId="10"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1" fontId="2" numFmtId="0" xfId="0" applyAlignment="1" applyFill="1" applyFont="1">
      <alignment readingOrder="0" shrinkToFit="0" vertical="center" wrapText="1"/>
    </xf>
    <xf borderId="0" fillId="0" fontId="4" numFmtId="0" xfId="0" applyAlignment="1" applyFont="1">
      <alignment readingOrder="0" shrinkToFit="0" wrapText="1"/>
    </xf>
    <xf borderId="0" fillId="10"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3" numFmtId="0" xfId="0" applyAlignment="1" applyFont="1">
      <alignment horizontal="center" readingOrder="0"/>
    </xf>
    <xf borderId="0" fillId="2" fontId="2" numFmtId="0" xfId="0" applyAlignment="1" applyFont="1">
      <alignment horizontal="right" readingOrder="0" shrinkToFit="0" wrapText="1"/>
    </xf>
    <xf borderId="0" fillId="2" fontId="2" numFmtId="165" xfId="0" applyFont="1" applyNumberFormat="1"/>
    <xf borderId="0" fillId="2" fontId="3" numFmtId="0" xfId="0" applyAlignment="1" applyFont="1">
      <alignment readingOrder="0"/>
    </xf>
    <xf borderId="0" fillId="2" fontId="2" numFmtId="0" xfId="0" applyFont="1"/>
    <xf borderId="0" fillId="0" fontId="2" numFmtId="167" xfId="0" applyAlignment="1" applyFont="1" applyNumberFormat="1">
      <alignment readingOrder="0"/>
    </xf>
    <xf borderId="0" fillId="0" fontId="33" numFmtId="0" xfId="0" applyAlignment="1" applyFont="1">
      <alignment readingOrder="0"/>
    </xf>
    <xf borderId="0" fillId="12" fontId="34" numFmtId="0" xfId="0" applyAlignment="1" applyFill="1" applyFont="1">
      <alignment readingOrder="0"/>
    </xf>
    <xf borderId="0" fillId="0" fontId="35" numFmtId="168" xfId="0" applyAlignment="1" applyFont="1" applyNumberFormat="1">
      <alignment readingOrder="0" shrinkToFit="0" wrapText="1"/>
    </xf>
    <xf borderId="0" fillId="0" fontId="35" numFmtId="0" xfId="0" applyAlignment="1" applyFont="1">
      <alignment readingOrder="0" shrinkToFit="0" wrapText="1"/>
    </xf>
    <xf borderId="0" fillId="11" fontId="4" numFmtId="0" xfId="0" applyAlignment="1" applyFont="1">
      <alignment readingOrder="0"/>
    </xf>
    <xf borderId="0" fillId="0" fontId="36" numFmtId="0" xfId="0" applyFont="1"/>
    <xf borderId="0" fillId="0" fontId="37" numFmtId="0" xfId="0" applyAlignment="1" applyFont="1">
      <alignment readingOrder="0" shrinkToFit="0" wrapText="1"/>
    </xf>
    <xf borderId="0" fillId="0" fontId="4" numFmtId="0" xfId="0" applyAlignment="1" applyFont="1">
      <alignment readingOrder="0" shrinkToFit="0" wrapText="1"/>
    </xf>
    <xf borderId="0" fillId="11" fontId="29" numFmtId="0" xfId="0" applyAlignment="1" applyFont="1">
      <alignment readingOrder="0"/>
    </xf>
    <xf borderId="0" fillId="0" fontId="29" numFmtId="0" xfId="0" applyAlignment="1" applyFont="1">
      <alignment readingOrder="0"/>
    </xf>
    <xf borderId="0" fillId="0" fontId="4" numFmtId="164" xfId="0" applyAlignment="1" applyFont="1" applyNumberFormat="1">
      <alignment shrinkToFit="0" wrapText="1"/>
    </xf>
    <xf borderId="0" fillId="0" fontId="29" numFmtId="0" xfId="0" applyAlignment="1" applyFont="1">
      <alignment readingOrder="0" shrinkToFit="0" wrapText="1"/>
    </xf>
    <xf borderId="0" fillId="0" fontId="38" numFmtId="0" xfId="0" applyAlignment="1" applyFont="1">
      <alignment readingOrder="0" shrinkToFit="0" wrapText="1"/>
    </xf>
    <xf borderId="0" fillId="0" fontId="39" numFmtId="0" xfId="0" applyAlignment="1" applyFont="1">
      <alignment shrinkToFit="0" wrapText="1"/>
    </xf>
    <xf borderId="0" fillId="0" fontId="35" numFmtId="0" xfId="0" applyAlignment="1" applyFont="1">
      <alignment readingOrder="0"/>
    </xf>
    <xf borderId="0" fillId="0" fontId="35" numFmtId="0" xfId="0" applyAlignment="1" applyFont="1">
      <alignment readingOrder="0"/>
    </xf>
    <xf borderId="0" fillId="0" fontId="35" numFmtId="0" xfId="0" applyAlignment="1" applyFont="1">
      <alignment readingOrder="0"/>
    </xf>
    <xf borderId="0" fillId="0" fontId="35" numFmtId="0" xfId="0" applyFont="1"/>
    <xf borderId="0" fillId="2" fontId="37" numFmtId="0" xfId="0" applyAlignment="1" applyFont="1">
      <alignment horizontal="right" readingOrder="0"/>
    </xf>
    <xf borderId="0" fillId="2" fontId="29" numFmtId="0" xfId="0" applyFont="1"/>
    <xf borderId="0" fillId="0" fontId="4" numFmtId="0" xfId="0" applyAlignment="1" applyFont="1">
      <alignment readingOrder="0" shrinkToFit="0" vertical="center" wrapText="1"/>
    </xf>
    <xf borderId="0" fillId="13" fontId="29" numFmtId="0" xfId="0" applyAlignment="1" applyFill="1" applyFont="1">
      <alignment readingOrder="0"/>
    </xf>
    <xf borderId="0" fillId="8" fontId="40" numFmtId="0" xfId="0" applyAlignment="1" applyFont="1">
      <alignment readingOrder="0"/>
    </xf>
    <xf borderId="0" fillId="13" fontId="4" numFmtId="0" xfId="0" applyFont="1"/>
    <xf borderId="0" fillId="2" fontId="41" numFmtId="0" xfId="0" applyFont="1"/>
    <xf borderId="0" fillId="11" fontId="42" numFmtId="0" xfId="0" applyAlignment="1" applyFont="1">
      <alignment vertical="bottom"/>
    </xf>
    <xf borderId="0" fillId="6" fontId="43" numFmtId="0" xfId="0" applyAlignment="1" applyFont="1">
      <alignment vertical="bottom"/>
    </xf>
    <xf borderId="0" fillId="11" fontId="35" numFmtId="0" xfId="0" applyAlignment="1" applyFont="1">
      <alignment readingOrder="0"/>
    </xf>
    <xf borderId="0" fillId="6" fontId="35" numFmtId="0" xfId="0" applyAlignment="1" applyFont="1">
      <alignment readingOrder="0"/>
    </xf>
    <xf borderId="0" fillId="14" fontId="4" numFmtId="0" xfId="0" applyFill="1" applyFont="1"/>
    <xf borderId="0" fillId="7" fontId="44"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1247775</xdr:colOff>
      <xdr:row>3</xdr:row>
      <xdr:rowOff>171450</xdr:rowOff>
    </xdr:from>
    <xdr:ext cx="9163050" cy="7991475"/>
    <xdr:grpSp>
      <xdr:nvGrpSpPr>
        <xdr:cNvPr id="2" name="Shape 2" title="Drawing"/>
        <xdr:cNvGrpSpPr/>
      </xdr:nvGrpSpPr>
      <xdr:grpSpPr>
        <a:xfrm>
          <a:off x="2962821" y="57225"/>
          <a:ext cx="9147079" cy="7972525"/>
          <a:chOff x="2962821" y="57225"/>
          <a:chExt cx="9147079" cy="7972525"/>
        </a:xfrm>
      </xdr:grpSpPr>
      <xdr:sp>
        <xdr:nvSpPr>
          <xdr:cNvPr id="3" name="Shape 3"/>
          <xdr:cNvSpPr/>
        </xdr:nvSpPr>
        <xdr:spPr>
          <a:xfrm rot="5400000">
            <a:off x="4112025" y="2444300"/>
            <a:ext cx="54630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2962821" y="1798456"/>
            <a:ext cx="2575500" cy="2621400"/>
          </a:xfrm>
          <a:prstGeom prst="rect">
            <a:avLst/>
          </a:prstGeom>
          <a:solidFill>
            <a:srgbClr val="E6B8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Saloon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  3 Bed &amp; Breakfast Rms</a:t>
            </a:r>
            <a:endParaRPr sz="1400"/>
          </a:p>
        </xdr:txBody>
      </xdr:sp>
      <xdr:sp>
        <xdr:nvSpPr>
          <xdr:cNvPr id="5" name="Shape 5"/>
          <xdr:cNvSpPr/>
        </xdr:nvSpPr>
        <xdr:spPr>
          <a:xfrm>
            <a:off x="8125714" y="2174379"/>
            <a:ext cx="1023300" cy="1536600"/>
          </a:xfrm>
          <a:prstGeom prst="rect">
            <a:avLst/>
          </a:prstGeom>
          <a:solidFill>
            <a:srgbClr val="A2C4C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   </a:t>
            </a:r>
            <a:r>
              <a:rPr lang="en-US" sz="1400"/>
              <a:t>Office </a:t>
            </a:r>
            <a:endParaRPr sz="1400"/>
          </a:p>
        </xdr:txBody>
      </xdr:sp>
      <xdr:sp>
        <xdr:nvSpPr>
          <xdr:cNvPr id="6" name="Shape 6"/>
          <xdr:cNvSpPr/>
        </xdr:nvSpPr>
        <xdr:spPr>
          <a:xfrm>
            <a:off x="5788375" y="6493150"/>
            <a:ext cx="21609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Chapel</a:t>
            </a:r>
            <a:endParaRPr sz="1400"/>
          </a:p>
        </xdr:txBody>
      </xdr:sp>
      <xdr:sp>
        <xdr:nvSpPr>
          <xdr:cNvPr id="7" name="Shape 7"/>
          <xdr:cNvSpPr/>
        </xdr:nvSpPr>
        <xdr:spPr>
          <a:xfrm>
            <a:off x="3421100" y="4748150"/>
            <a:ext cx="2081100" cy="16518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Reillys Inn B &amp; B</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  Trading Post</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Men/Women Restrooms</a:t>
            </a:r>
            <a:endParaRPr sz="1400"/>
          </a:p>
        </xdr:txBody>
      </xdr:sp>
      <xdr:sp>
        <xdr:nvSpPr>
          <xdr:cNvPr id="8" name="Shape 8"/>
          <xdr:cNvSpPr/>
        </xdr:nvSpPr>
        <xdr:spPr>
          <a:xfrm rot="-5400000">
            <a:off x="4507096" y="3071768"/>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3482475" y="57225"/>
            <a:ext cx="7940400" cy="9048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Parking Lot</a:t>
            </a:r>
            <a:endParaRPr sz="1400"/>
          </a:p>
          <a:p>
            <a:pPr indent="0" lvl="0" marL="0" rtl="0" algn="ctr">
              <a:spcBef>
                <a:spcPts val="0"/>
              </a:spcBef>
              <a:spcAft>
                <a:spcPts val="0"/>
              </a:spcAft>
              <a:buNone/>
            </a:pPr>
            <a:r>
              <a:rPr lang="en-US" sz="1400"/>
              <a:t>Designated Smoking Area</a:t>
            </a:r>
            <a:endParaRPr sz="1400"/>
          </a:p>
        </xdr:txBody>
      </xdr:sp>
      <xdr:sp>
        <xdr:nvSpPr>
          <xdr:cNvPr id="10" name="Shape 10"/>
          <xdr:cNvSpPr/>
        </xdr:nvSpPr>
        <xdr:spPr>
          <a:xfrm>
            <a:off x="8254600" y="1803975"/>
            <a:ext cx="38553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To the Lake and Pergola</a:t>
            </a:r>
            <a:endParaRPr sz="1400"/>
          </a:p>
        </xdr:txBody>
      </xdr:sp>
      <xdr:sp>
        <xdr:nvSpPr>
          <xdr:cNvPr id="11" name="Shape 11"/>
          <xdr:cNvSpPr/>
        </xdr:nvSpPr>
        <xdr:spPr>
          <a:xfrm>
            <a:off x="8184975" y="5309225"/>
            <a:ext cx="1104900" cy="1007400"/>
          </a:xfrm>
          <a:prstGeom prst="rect">
            <a:avLst/>
          </a:prstGeom>
          <a:solidFill>
            <a:srgbClr val="E6B8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Wagon Repair</a:t>
            </a:r>
            <a:endParaRPr sz="1000">
              <a:solidFill>
                <a:srgbClr val="FFFFFF"/>
              </a:solidFill>
            </a:endParaRPr>
          </a:p>
        </xdr:txBody>
      </xdr:sp>
      <xdr:sp>
        <xdr:nvSpPr>
          <xdr:cNvPr id="12" name="Shape 12"/>
          <xdr:cNvSpPr/>
        </xdr:nvSpPr>
        <xdr:spPr>
          <a:xfrm>
            <a:off x="8184825" y="1004575"/>
            <a:ext cx="964200" cy="711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 Food Tent</a:t>
            </a:r>
            <a:endParaRPr sz="1000"/>
          </a:p>
        </xdr:txBody>
      </xdr:sp>
      <xdr:sp>
        <xdr:nvSpPr>
          <xdr:cNvPr id="13" name="Shape 13"/>
          <xdr:cNvSpPr/>
        </xdr:nvSpPr>
        <xdr:spPr>
          <a:xfrm>
            <a:off x="8125825" y="3710975"/>
            <a:ext cx="1023300" cy="1261800"/>
          </a:xfrm>
          <a:prstGeom prst="rect">
            <a:avLst/>
          </a:prstGeom>
          <a:solidFill>
            <a:srgbClr val="A2C4C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 Jail  Groom Rm</a:t>
            </a:r>
            <a:endParaRPr sz="1000"/>
          </a:p>
        </xdr:txBody>
      </xdr:sp>
    </xdr:grpSp>
    <xdr:clientData fLocksWithSheet="0"/>
  </xdr:oneCellAnchor>
  <xdr:oneCellAnchor>
    <xdr:from>
      <xdr:col>5</xdr:col>
      <xdr:colOff>781050</xdr:colOff>
      <xdr:row>14</xdr:row>
      <xdr:rowOff>152400</xdr:rowOff>
    </xdr:from>
    <xdr:ext cx="428625" cy="409575"/>
    <xdr:sp>
      <xdr:nvSpPr>
        <xdr:cNvPr id="14" name="Shape 14"/>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304800</xdr:colOff>
      <xdr:row>32</xdr:row>
      <xdr:rowOff>57150</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104775</xdr:colOff>
      <xdr:row>14</xdr:row>
      <xdr:rowOff>142875</xdr:rowOff>
    </xdr:from>
    <xdr:ext cx="438150" cy="428625"/>
    <xdr:sp>
      <xdr:nvSpPr>
        <xdr:cNvPr id="16" name="Shape 16"/>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190500</xdr:colOff>
      <xdr:row>30</xdr:row>
      <xdr:rowOff>38100</xdr:rowOff>
    </xdr:from>
    <xdr:ext cx="428625" cy="428625"/>
    <xdr:sp>
      <xdr:nvSpPr>
        <xdr:cNvPr id="17" name="Shape 17"/>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485775</xdr:colOff>
      <xdr:row>27</xdr:row>
      <xdr:rowOff>123825</xdr:rowOff>
    </xdr:from>
    <xdr:ext cx="438150" cy="428625"/>
    <xdr:sp>
      <xdr:nvSpPr>
        <xdr:cNvPr id="18" name="Shape 18"/>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723900</xdr:colOff>
      <xdr:row>30</xdr:row>
      <xdr:rowOff>38100</xdr:rowOff>
    </xdr:from>
    <xdr:ext cx="438150" cy="428625"/>
    <xdr:sp>
      <xdr:nvSpPr>
        <xdr:cNvPr id="19" name="Shape 19"/>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15</xdr:col>
      <xdr:colOff>466725</xdr:colOff>
      <xdr:row>42</xdr:row>
      <xdr:rowOff>200025</xdr:rowOff>
    </xdr:from>
    <xdr:ext cx="400050" cy="419100"/>
    <xdr:sp>
      <xdr:nvSpPr>
        <xdr:cNvPr id="20" name="Shape 20"/>
        <xdr:cNvSpPr/>
      </xdr:nvSpPr>
      <xdr:spPr>
        <a:xfrm>
          <a:off x="3381375" y="933525"/>
          <a:ext cx="381000" cy="400200"/>
        </a:xfrm>
        <a:prstGeom prst="ellipse">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47625</xdr:colOff>
      <xdr:row>27</xdr:row>
      <xdr:rowOff>142875</xdr:rowOff>
    </xdr:from>
    <xdr:ext cx="428625" cy="409575"/>
    <xdr:sp>
      <xdr:nvSpPr>
        <xdr:cNvPr id="21" name="Shape 21"/>
        <xdr:cNvSpPr/>
      </xdr:nvSpPr>
      <xdr:spPr>
        <a:xfrm>
          <a:off x="2762250" y="1181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200025</xdr:colOff>
      <xdr:row>16</xdr:row>
      <xdr:rowOff>171450</xdr:rowOff>
    </xdr:from>
    <xdr:ext cx="428625" cy="419100"/>
    <xdr:sp>
      <xdr:nvSpPr>
        <xdr:cNvPr id="22" name="Shape 22"/>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781050</xdr:colOff>
      <xdr:row>20</xdr:row>
      <xdr:rowOff>133350</xdr:rowOff>
    </xdr:from>
    <xdr:ext cx="1019175" cy="923925"/>
    <xdr:grpSp>
      <xdr:nvGrpSpPr>
        <xdr:cNvPr id="2" name="Shape 2" title="Drawing"/>
        <xdr:cNvGrpSpPr/>
      </xdr:nvGrpSpPr>
      <xdr:grpSpPr>
        <a:xfrm>
          <a:off x="3824300" y="598800"/>
          <a:ext cx="998700" cy="906225"/>
          <a:chOff x="3824300" y="598800"/>
          <a:chExt cx="998700" cy="906225"/>
        </a:xfrm>
      </xdr:grpSpPr>
      <xdr:sp>
        <xdr:nvSpPr>
          <xdr:cNvPr id="23" name="Shape 23"/>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4" name="Shape 24"/>
          <xdr:cNvSpPr txBox="1"/>
        </xdr:nvSpPr>
        <xdr:spPr>
          <a:xfrm>
            <a:off x="3824300" y="598800"/>
            <a:ext cx="998700" cy="591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Cake </a:t>
            </a:r>
            <a:endParaRPr sz="1400"/>
          </a:p>
          <a:p>
            <a:pPr indent="0" lvl="0" marL="0" rtl="0" algn="l">
              <a:spcBef>
                <a:spcPts val="0"/>
              </a:spcBef>
              <a:spcAft>
                <a:spcPts val="0"/>
              </a:spcAft>
              <a:buNone/>
            </a:pPr>
            <a:r>
              <a:rPr lang="en-US" sz="1400"/>
              <a:t>Table</a:t>
            </a:r>
            <a:endParaRPr sz="1400"/>
          </a:p>
        </xdr:txBody>
      </xdr:sp>
    </xdr:grpSp>
    <xdr:clientData fLocksWithSheet="0"/>
  </xdr:oneCellAnchor>
  <xdr:oneCellAnchor>
    <xdr:from>
      <xdr:col>14</xdr:col>
      <xdr:colOff>704850</xdr:colOff>
      <xdr:row>45</xdr:row>
      <xdr:rowOff>19050</xdr:rowOff>
    </xdr:from>
    <xdr:ext cx="447675" cy="428625"/>
    <xdr:sp>
      <xdr:nvSpPr>
        <xdr:cNvPr id="25" name="Shape 25"/>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962025</xdr:colOff>
      <xdr:row>44</xdr:row>
      <xdr:rowOff>190500</xdr:rowOff>
    </xdr:from>
    <xdr:ext cx="428625" cy="409575"/>
    <xdr:sp>
      <xdr:nvSpPr>
        <xdr:cNvPr id="26" name="Shape 26"/>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285750</xdr:colOff>
      <xdr:row>44</xdr:row>
      <xdr:rowOff>190500</xdr:rowOff>
    </xdr:from>
    <xdr:ext cx="447675" cy="428625"/>
    <xdr:sp>
      <xdr:nvSpPr>
        <xdr:cNvPr id="27" name="Shape 27"/>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657225</xdr:colOff>
      <xdr:row>32</xdr:row>
      <xdr:rowOff>57150</xdr:rowOff>
    </xdr:from>
    <xdr:ext cx="447675" cy="438150"/>
    <xdr:sp>
      <xdr:nvSpPr>
        <xdr:cNvPr id="28" name="Shape 28"/>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428625</xdr:colOff>
      <xdr:row>14</xdr:row>
      <xdr:rowOff>95250</xdr:rowOff>
    </xdr:from>
    <xdr:ext cx="438150" cy="419100"/>
    <xdr:sp>
      <xdr:nvSpPr>
        <xdr:cNvPr id="29" name="Shape 29"/>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523875</xdr:colOff>
      <xdr:row>16</xdr:row>
      <xdr:rowOff>180975</xdr:rowOff>
    </xdr:from>
    <xdr:ext cx="400050" cy="400050"/>
    <xdr:sp>
      <xdr:nvSpPr>
        <xdr:cNvPr id="30" name="Shape 30"/>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304800</xdr:colOff>
      <xdr:row>30</xdr:row>
      <xdr:rowOff>28575</xdr:rowOff>
    </xdr:from>
    <xdr:ext cx="409575" cy="409575"/>
    <xdr:sp>
      <xdr:nvSpPr>
        <xdr:cNvPr id="31" name="Shape 31"/>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771525</xdr:colOff>
      <xdr:row>35</xdr:row>
      <xdr:rowOff>200025</xdr:rowOff>
    </xdr:from>
    <xdr:ext cx="400050" cy="400050"/>
    <xdr:sp>
      <xdr:nvSpPr>
        <xdr:cNvPr id="32" name="Shape 32"/>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314325</xdr:colOff>
      <xdr:row>35</xdr:row>
      <xdr:rowOff>152400</xdr:rowOff>
    </xdr:from>
    <xdr:ext cx="428625" cy="409575"/>
    <xdr:sp>
      <xdr:nvSpPr>
        <xdr:cNvPr id="33" name="Shape 33"/>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152400</xdr:colOff>
      <xdr:row>35</xdr:row>
      <xdr:rowOff>200025</xdr:rowOff>
    </xdr:from>
    <xdr:ext cx="390525" cy="400050"/>
    <xdr:sp>
      <xdr:nvSpPr>
        <xdr:cNvPr id="34" name="Shape 34"/>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323850</xdr:colOff>
      <xdr:row>29</xdr:row>
      <xdr:rowOff>161925</xdr:rowOff>
    </xdr:from>
    <xdr:ext cx="428625" cy="419100"/>
    <xdr:sp>
      <xdr:nvSpPr>
        <xdr:cNvPr id="35" name="Shape 35"/>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628650</xdr:colOff>
      <xdr:row>29</xdr:row>
      <xdr:rowOff>171450</xdr:rowOff>
    </xdr:from>
    <xdr:ext cx="409575" cy="390525"/>
    <xdr:sp>
      <xdr:nvSpPr>
        <xdr:cNvPr id="36" name="Shape 36"/>
        <xdr:cNvSpPr/>
      </xdr:nvSpPr>
      <xdr:spPr>
        <a:xfrm>
          <a:off x="3667125" y="96210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152400</xdr:colOff>
      <xdr:row>32</xdr:row>
      <xdr:rowOff>76200</xdr:rowOff>
    </xdr:from>
    <xdr:ext cx="390525" cy="390525"/>
    <xdr:sp>
      <xdr:nvSpPr>
        <xdr:cNvPr id="37" name="Shape 37"/>
        <xdr:cNvSpPr/>
      </xdr:nvSpPr>
      <xdr:spPr>
        <a:xfrm>
          <a:off x="3305175" y="98115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142875</xdr:colOff>
      <xdr:row>29</xdr:row>
      <xdr:rowOff>152400</xdr:rowOff>
    </xdr:from>
    <xdr:ext cx="419100" cy="409575"/>
    <xdr:sp>
      <xdr:nvSpPr>
        <xdr:cNvPr id="38" name="Shape 38"/>
        <xdr:cNvSpPr/>
      </xdr:nvSpPr>
      <xdr:spPr>
        <a:xfrm>
          <a:off x="4286250" y="1428825"/>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828675</xdr:colOff>
      <xdr:row>40</xdr:row>
      <xdr:rowOff>200025</xdr:rowOff>
    </xdr:from>
    <xdr:ext cx="1152525" cy="314325"/>
    <xdr:sp>
      <xdr:nvSpPr>
        <xdr:cNvPr id="39" name="Shape 39"/>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6</xdr:col>
      <xdr:colOff>647700</xdr:colOff>
      <xdr:row>20</xdr:row>
      <xdr:rowOff>38100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40" name="Shape 40"/>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41" name="Shape 41"/>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40</xdr:row>
      <xdr:rowOff>152400</xdr:rowOff>
    </xdr:from>
    <xdr:ext cx="400050" cy="1038225"/>
    <xdr:sp>
      <xdr:nvSpPr>
        <xdr:cNvPr id="42" name="Shape 42"/>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43" name="Shape 4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1143000</xdr:colOff>
      <xdr:row>30</xdr:row>
      <xdr:rowOff>190500</xdr:rowOff>
    </xdr:from>
    <xdr:ext cx="914400" cy="657225"/>
    <xdr:sp>
      <xdr:nvSpPr>
        <xdr:cNvPr id="44" name="Shape 4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10</xdr:col>
      <xdr:colOff>514350</xdr:colOff>
      <xdr:row>42</xdr:row>
      <xdr:rowOff>180975</xdr:rowOff>
    </xdr:from>
    <xdr:ext cx="914400" cy="381000"/>
    <xdr:sp>
      <xdr:nvSpPr>
        <xdr:cNvPr id="45" name="Shape 4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39</xdr:row>
      <xdr:rowOff>142875</xdr:rowOff>
    </xdr:from>
    <xdr:ext cx="571500" cy="581025"/>
    <xdr:sp>
      <xdr:nvSpPr>
        <xdr:cNvPr id="46" name="Shape 46"/>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41</xdr:row>
      <xdr:rowOff>28575</xdr:rowOff>
    </xdr:from>
    <xdr:ext cx="704850" cy="266700"/>
    <xdr:sp>
      <xdr:nvSpPr>
        <xdr:cNvPr id="47" name="Shape 47"/>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39</xdr:row>
      <xdr:rowOff>95250</xdr:rowOff>
    </xdr:from>
    <xdr:ext cx="723900" cy="276225"/>
    <xdr:sp>
      <xdr:nvSpPr>
        <xdr:cNvPr id="48" name="Shape 48"/>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38</xdr:row>
      <xdr:rowOff>76200</xdr:rowOff>
    </xdr:from>
    <xdr:ext cx="276225" cy="752475"/>
    <xdr:sp>
      <xdr:nvSpPr>
        <xdr:cNvPr id="49" name="Shape 49"/>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39</xdr:row>
      <xdr:rowOff>28575</xdr:rowOff>
    </xdr:from>
    <xdr:ext cx="619125" cy="276225"/>
    <xdr:sp>
      <xdr:nvSpPr>
        <xdr:cNvPr id="50" name="Shape 50"/>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40</xdr:row>
      <xdr:rowOff>171450</xdr:rowOff>
    </xdr:from>
    <xdr:ext cx="619125" cy="285750"/>
    <xdr:sp>
      <xdr:nvSpPr>
        <xdr:cNvPr id="51" name="Shape 51"/>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39</xdr:row>
      <xdr:rowOff>19050</xdr:rowOff>
    </xdr:from>
    <xdr:ext cx="295275" cy="628650"/>
    <xdr:sp>
      <xdr:nvSpPr>
        <xdr:cNvPr id="52" name="Shape 52"/>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36</xdr:row>
      <xdr:rowOff>104775</xdr:rowOff>
    </xdr:from>
    <xdr:ext cx="1447800" cy="323850"/>
    <xdr:sp>
      <xdr:nvSpPr>
        <xdr:cNvPr id="53" name="Shape 53"/>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9</xdr:col>
      <xdr:colOff>685800</xdr:colOff>
      <xdr:row>39</xdr:row>
      <xdr:rowOff>19050</xdr:rowOff>
    </xdr:from>
    <xdr:ext cx="2228850" cy="314325"/>
    <xdr:sp>
      <xdr:nvSpPr>
        <xdr:cNvPr id="54" name="Shape 54"/>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(3) 8 Foot Tables</a:t>
          </a:r>
          <a:endParaRPr sz="1000"/>
        </a:p>
      </xdr:txBody>
    </xdr:sp>
    <xdr:clientData fLocksWithSheet="0"/>
  </xdr:oneCellAnchor>
  <xdr:oneCellAnchor>
    <xdr:from>
      <xdr:col>12</xdr:col>
      <xdr:colOff>657225</xdr:colOff>
      <xdr:row>31</xdr:row>
      <xdr:rowOff>142875</xdr:rowOff>
    </xdr:from>
    <xdr:ext cx="2895600" cy="361950"/>
    <xdr:sp>
      <xdr:nvSpPr>
        <xdr:cNvPr id="55" name="Shape 55"/>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27</xdr:row>
      <xdr:rowOff>180975</xdr:rowOff>
    </xdr:from>
    <xdr:ext cx="323850" cy="2181225"/>
    <xdr:sp>
      <xdr:nvSpPr>
        <xdr:cNvPr id="56" name="Shape 56"/>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5</xdr:col>
      <xdr:colOff>685800</xdr:colOff>
      <xdr:row>19</xdr:row>
      <xdr:rowOff>161925</xdr:rowOff>
    </xdr:from>
    <xdr:ext cx="752475" cy="1409700"/>
    <xdr:sp>
      <xdr:nvSpPr>
        <xdr:cNvPr id="57" name="Shape 57"/>
        <xdr:cNvSpPr/>
      </xdr:nvSpPr>
      <xdr:spPr>
        <a:xfrm>
          <a:off x="4404050" y="481750"/>
          <a:ext cx="734100" cy="1872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Dance Floor </a:t>
          </a:r>
          <a:endParaRPr sz="1400"/>
        </a:p>
      </xdr:txBody>
    </xdr:sp>
    <xdr:clientData fLocksWithSheet="0"/>
  </xdr:oneCellAnchor>
  <xdr:oneCellAnchor>
    <xdr:from>
      <xdr:col>15</xdr:col>
      <xdr:colOff>57150</xdr:colOff>
      <xdr:row>34</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58" name="Shape 58"/>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9" name="Shape 59"/>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0</xdr:col>
      <xdr:colOff>142875</xdr:colOff>
      <xdr:row>6</xdr:row>
      <xdr:rowOff>142875</xdr:rowOff>
    </xdr:from>
    <xdr:ext cx="2762250" cy="2286000"/>
    <xdr:sp>
      <xdr:nvSpPr>
        <xdr:cNvPr id="60" name="Shape 60"/>
        <xdr:cNvSpPr txBox="1"/>
      </xdr:nvSpPr>
      <xdr:spPr>
        <a:xfrm>
          <a:off x="1209675" y="1914600"/>
          <a:ext cx="2743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200" u="sng"/>
            <a:t>For Silver Sycamore  Use Only:</a:t>
          </a:r>
          <a:endParaRPr b="1" sz="1200" u="sng"/>
        </a:p>
        <a:p>
          <a:pPr indent="0" lvl="0" marL="0" rtl="0" algn="l">
            <a:spcBef>
              <a:spcPts val="0"/>
            </a:spcBef>
            <a:spcAft>
              <a:spcPts val="0"/>
            </a:spcAft>
            <a:buNone/>
          </a:pPr>
          <a:r>
            <a:rPr lang="en-US" sz="1200"/>
            <a:t>Ceremony Location</a:t>
          </a:r>
          <a:endParaRPr sz="1200"/>
        </a:p>
        <a:p>
          <a:pPr indent="0" lvl="0" marL="0" rtl="0" algn="l">
            <a:spcBef>
              <a:spcPts val="0"/>
            </a:spcBef>
            <a:spcAft>
              <a:spcPts val="0"/>
            </a:spcAft>
            <a:buNone/>
          </a:pPr>
          <a:r>
            <a:rPr lang="en-US" sz="1200"/>
            <a:t>Large Ceremony Decor</a:t>
          </a:r>
          <a:endParaRPr sz="1200"/>
        </a:p>
        <a:p>
          <a:pPr indent="0" lvl="0" marL="0" rtl="0" algn="l">
            <a:spcBef>
              <a:spcPts val="0"/>
            </a:spcBef>
            <a:spcAft>
              <a:spcPts val="0"/>
            </a:spcAft>
            <a:buNone/>
          </a:pPr>
          <a:r>
            <a:rPr lang="en-US" sz="1200"/>
            <a:t>(Time) Ceremony</a:t>
          </a:r>
          <a:endParaRPr sz="1200"/>
        </a:p>
        <a:p>
          <a:pPr indent="0" lvl="0" marL="0" rtl="0" algn="l">
            <a:spcBef>
              <a:spcPts val="0"/>
            </a:spcBef>
            <a:spcAft>
              <a:spcPts val="0"/>
            </a:spcAft>
            <a:buNone/>
          </a:pPr>
          <a:r>
            <a:rPr lang="en-US" sz="1200"/>
            <a:t>Pictures Before / Pictures After</a:t>
          </a:r>
          <a:endParaRPr sz="1200"/>
        </a:p>
        <a:p>
          <a:pPr indent="0" lvl="0" marL="0" rtl="0" algn="l">
            <a:spcBef>
              <a:spcPts val="0"/>
            </a:spcBef>
            <a:spcAft>
              <a:spcPts val="0"/>
            </a:spcAft>
            <a:buNone/>
          </a:pPr>
          <a:r>
            <a:rPr lang="en-US" sz="1200"/>
            <a:t>Doors</a:t>
          </a:r>
          <a:endParaRPr sz="12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t># Guest Tables</a:t>
          </a:r>
          <a:endParaRPr sz="1200"/>
        </a:p>
        <a:p>
          <a:pPr indent="0" lvl="0" marL="0" rtl="0" algn="l">
            <a:spcBef>
              <a:spcPts val="0"/>
            </a:spcBef>
            <a:spcAft>
              <a:spcPts val="0"/>
            </a:spcAft>
            <a:buNone/>
          </a:pPr>
          <a:r>
            <a:rPr lang="en-US" sz="1200"/>
            <a:t>Yes:</a:t>
          </a:r>
          <a:endParaRPr sz="1200"/>
        </a:p>
        <a:p>
          <a:pPr indent="0" lvl="0" marL="0" rtl="0" algn="l">
            <a:spcBef>
              <a:spcPts val="0"/>
            </a:spcBef>
            <a:spcAft>
              <a:spcPts val="0"/>
            </a:spcAft>
            <a:buNone/>
          </a:pPr>
          <a:r>
            <a:rPr lang="en-US" sz="1200"/>
            <a:t>No:</a:t>
          </a:r>
          <a:endParaRPr sz="1200"/>
        </a:p>
        <a:p>
          <a:pPr indent="0" lvl="0" marL="0" rtl="0" algn="l">
            <a:spcBef>
              <a:spcPts val="0"/>
            </a:spcBef>
            <a:spcAft>
              <a:spcPts val="0"/>
            </a:spcAft>
            <a:buNone/>
          </a:pPr>
          <a:r>
            <a:rPr lang="en-US" sz="1200"/>
            <a:t>Street or the Hall :</a:t>
          </a:r>
          <a:endParaRPr sz="1200"/>
        </a:p>
        <a:p>
          <a:pPr indent="0" lvl="0" marL="0" rtl="0" algn="l">
            <a:spcBef>
              <a:spcPts val="0"/>
            </a:spcBef>
            <a:spcAft>
              <a:spcPts val="0"/>
            </a:spcAft>
            <a:buNone/>
          </a:pPr>
          <a:r>
            <a:rPr lang="en-US" sz="1200"/>
            <a:t>Other Notes</a:t>
          </a:r>
          <a:endParaRPr sz="1200"/>
        </a:p>
      </xdr:txBody>
    </xdr:sp>
    <xdr:clientData fLocksWithSheet="0"/>
  </xdr:oneCellAnchor>
  <xdr:oneCellAnchor>
    <xdr:from>
      <xdr:col>11</xdr:col>
      <xdr:colOff>523875</xdr:colOff>
      <xdr:row>43</xdr:row>
      <xdr:rowOff>190500</xdr:rowOff>
    </xdr:from>
    <xdr:ext cx="1447800" cy="447675"/>
    <xdr:sp>
      <xdr:nvSpPr>
        <xdr:cNvPr id="61" name="Shape 61"/>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12</xdr:col>
      <xdr:colOff>685800</xdr:colOff>
      <xdr:row>29</xdr:row>
      <xdr:rowOff>123825</xdr:rowOff>
    </xdr:from>
    <xdr:ext cx="1857375" cy="304800"/>
    <xdr:sp>
      <xdr:nvSpPr>
        <xdr:cNvPr id="62" name="Shape 62"/>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33</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63" name="Shape 63"/>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4" name="Shape 64"/>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34</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65" name="Shape 65"/>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6" name="Shape 66"/>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31</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67" name="Shape 67"/>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31</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69" name="Shape 69"/>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0" name="Shape 70"/>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33</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71" name="Shape 71"/>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2" name="Shape 72"/>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36</xdr:row>
      <xdr:rowOff>161925</xdr:rowOff>
    </xdr:from>
    <xdr:ext cx="819150" cy="657225"/>
    <xdr:sp>
      <xdr:nvSpPr>
        <xdr:cNvPr id="73" name="Shape 73"/>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819150</xdr:colOff>
      <xdr:row>4</xdr:row>
      <xdr:rowOff>190500</xdr:rowOff>
    </xdr:from>
    <xdr:ext cx="7734300" cy="857250"/>
    <xdr:grpSp>
      <xdr:nvGrpSpPr>
        <xdr:cNvPr id="2" name="Shape 2" title="Drawing"/>
        <xdr:cNvGrpSpPr/>
      </xdr:nvGrpSpPr>
      <xdr:grpSpPr>
        <a:xfrm>
          <a:off x="960675" y="607775"/>
          <a:ext cx="10959375" cy="835275"/>
          <a:chOff x="960675" y="607775"/>
          <a:chExt cx="10959375" cy="835275"/>
        </a:xfrm>
      </xdr:grpSpPr>
      <xdr:sp>
        <xdr:nvSpPr>
          <xdr:cNvPr id="74" name="Shape 74"/>
          <xdr:cNvSpPr/>
        </xdr:nvSpPr>
        <xdr:spPr>
          <a:xfrm>
            <a:off x="960675" y="607775"/>
            <a:ext cx="5901300" cy="3333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Porch (No Smoking) </a:t>
            </a:r>
            <a:endParaRPr sz="1400"/>
          </a:p>
        </xdr:txBody>
      </xdr:sp>
      <xdr:sp>
        <xdr:nvSpPr>
          <xdr:cNvPr id="75" name="Shape 75"/>
          <xdr:cNvSpPr txBox="1"/>
        </xdr:nvSpPr>
        <xdr:spPr>
          <a:xfrm>
            <a:off x="6273750" y="784250"/>
            <a:ext cx="5646300" cy="658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8</xdr:col>
      <xdr:colOff>561975</xdr:colOff>
      <xdr:row>7</xdr:row>
      <xdr:rowOff>-57150</xdr:rowOff>
    </xdr:from>
    <xdr:ext cx="381000" cy="5610225"/>
    <xdr:sp>
      <xdr:nvSpPr>
        <xdr:cNvPr id="76" name="Shape 76"/>
        <xdr:cNvSpPr/>
      </xdr:nvSpPr>
      <xdr:spPr>
        <a:xfrm rot="5400000">
          <a:off x="1538750" y="2058825"/>
          <a:ext cx="5686200" cy="3627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Porch (No Smoking) </a:t>
          </a:r>
          <a:endParaRPr sz="1400"/>
        </a:p>
      </xdr:txBody>
    </xdr:sp>
    <xdr:clientData fLocksWithSheet="0"/>
  </xdr:oneCellAnchor>
  <xdr:oneCellAnchor>
    <xdr:from>
      <xdr:col>7</xdr:col>
      <xdr:colOff>914400</xdr:colOff>
      <xdr:row>7</xdr:row>
      <xdr:rowOff>-57150</xdr:rowOff>
    </xdr:from>
    <xdr:ext cx="609600" cy="5610225"/>
    <xdr:sp>
      <xdr:nvSpPr>
        <xdr:cNvPr id="77" name="Shape 77"/>
        <xdr:cNvSpPr/>
      </xdr:nvSpPr>
      <xdr:spPr>
        <a:xfrm rot="5400000">
          <a:off x="880700" y="1435925"/>
          <a:ext cx="6088500" cy="5934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Bar Area</a:t>
          </a:r>
          <a:endParaRPr sz="1400"/>
        </a:p>
      </xdr:txBody>
    </xdr:sp>
    <xdr:clientData fLocksWithSheet="0"/>
  </xdr:oneCellAnchor>
  <xdr:oneCellAnchor>
    <xdr:from>
      <xdr:col>1</xdr:col>
      <xdr:colOff>819150</xdr:colOff>
      <xdr:row>32</xdr:row>
      <xdr:rowOff>133350</xdr:rowOff>
    </xdr:from>
    <xdr:ext cx="5867400" cy="419100"/>
    <xdr:sp>
      <xdr:nvSpPr>
        <xdr:cNvPr id="78" name="Shape 78"/>
        <xdr:cNvSpPr/>
      </xdr:nvSpPr>
      <xdr:spPr>
        <a:xfrm>
          <a:off x="890275" y="1770975"/>
          <a:ext cx="5695800" cy="4020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Men’s RR			Women’s RR</a:t>
          </a:r>
          <a:endParaRPr sz="1400"/>
        </a:p>
      </xdr:txBody>
    </xdr:sp>
    <xdr:clientData fLocksWithSheet="0"/>
  </xdr:oneCellAnchor>
  <xdr:oneCellAnchor>
    <xdr:from>
      <xdr:col>1</xdr:col>
      <xdr:colOff>819150</xdr:colOff>
      <xdr:row>7</xdr:row>
      <xdr:rowOff>-66675</xdr:rowOff>
    </xdr:from>
    <xdr:ext cx="7524750" cy="5743575"/>
    <xdr:grpSp>
      <xdr:nvGrpSpPr>
        <xdr:cNvPr id="2" name="Shape 2" title="Drawing"/>
        <xdr:cNvGrpSpPr/>
      </xdr:nvGrpSpPr>
      <xdr:grpSpPr>
        <a:xfrm>
          <a:off x="1435925" y="497800"/>
          <a:ext cx="6184100" cy="4261725"/>
          <a:chOff x="1435925" y="497800"/>
          <a:chExt cx="6184100" cy="4261725"/>
        </a:xfrm>
      </xdr:grpSpPr>
      <xdr:sp>
        <xdr:nvSpPr>
          <xdr:cNvPr id="79" name="Shape 79"/>
          <xdr:cNvSpPr/>
        </xdr:nvSpPr>
        <xdr:spPr>
          <a:xfrm>
            <a:off x="1435925" y="497800"/>
            <a:ext cx="4834200" cy="38577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0" name="Shape 80"/>
          <xdr:cNvSpPr txBox="1"/>
        </xdr:nvSpPr>
        <xdr:spPr>
          <a:xfrm>
            <a:off x="1435925" y="4039750"/>
            <a:ext cx="1072200" cy="468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solidFill>
                  <a:srgbClr val="FF0000"/>
                </a:solidFill>
              </a:rPr>
              <a:t>Catering Door</a:t>
            </a:r>
            <a:endParaRPr sz="1000">
              <a:solidFill>
                <a:srgbClr val="FF0000"/>
              </a:solidFill>
            </a:endParaRPr>
          </a:p>
        </xdr:txBody>
      </xdr:sp>
      <xdr:sp>
        <xdr:nvSpPr>
          <xdr:cNvPr id="81" name="Shape 81"/>
          <xdr:cNvSpPr txBox="1"/>
        </xdr:nvSpPr>
        <xdr:spPr>
          <a:xfrm>
            <a:off x="2106025" y="4116325"/>
            <a:ext cx="5514000" cy="643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9</xdr:col>
      <xdr:colOff>314325</xdr:colOff>
      <xdr:row>4</xdr:row>
      <xdr:rowOff>104775</xdr:rowOff>
    </xdr:from>
    <xdr:ext cx="1476375" cy="1276350"/>
    <xdr:sp>
      <xdr:nvSpPr>
        <xdr:cNvPr id="82" name="Shape 82"/>
        <xdr:cNvSpPr/>
      </xdr:nvSpPr>
      <xdr:spPr>
        <a:xfrm>
          <a:off x="2919725" y="1148750"/>
          <a:ext cx="1455000" cy="12540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60’ (seats 8-10)</a:t>
          </a:r>
          <a:endParaRPr sz="1400"/>
        </a:p>
      </xdr:txBody>
    </xdr:sp>
    <xdr:clientData fLocksWithSheet="0"/>
  </xdr:oneCellAnchor>
  <xdr:oneCellAnchor>
    <xdr:from>
      <xdr:col>9</xdr:col>
      <xdr:colOff>333375</xdr:colOff>
      <xdr:row>4</xdr:row>
      <xdr:rowOff>85725</xdr:rowOff>
    </xdr:from>
    <xdr:ext cx="1476375" cy="1314450"/>
    <xdr:sp>
      <xdr:nvSpPr>
        <xdr:cNvPr id="83" name="Shape 83"/>
        <xdr:cNvSpPr/>
      </xdr:nvSpPr>
      <xdr:spPr>
        <a:xfrm>
          <a:off x="3235625" y="1493375"/>
          <a:ext cx="1751700" cy="1531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60’ (seats 8-10)</a:t>
          </a:r>
          <a:endParaRPr sz="1400"/>
        </a:p>
      </xdr:txBody>
    </xdr:sp>
    <xdr:clientData fLocksWithSheet="0"/>
  </xdr:oneCellAnchor>
  <xdr:oneCellAnchor>
    <xdr:from>
      <xdr:col>9</xdr:col>
      <xdr:colOff>333375</xdr:colOff>
      <xdr:row>4</xdr:row>
      <xdr:rowOff>66675</xdr:rowOff>
    </xdr:from>
    <xdr:ext cx="1476375" cy="1314450"/>
    <xdr:sp>
      <xdr:nvSpPr>
        <xdr:cNvPr id="84" name="Shape 84"/>
        <xdr:cNvSpPr/>
      </xdr:nvSpPr>
      <xdr:spPr>
        <a:xfrm>
          <a:off x="3293075" y="1742250"/>
          <a:ext cx="1627500" cy="13881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60’ (seats 8-10)</a:t>
          </a:r>
          <a:endParaRPr sz="1400"/>
        </a:p>
      </xdr:txBody>
    </xdr:sp>
    <xdr:clientData fLocksWithSheet="0"/>
  </xdr:oneCellAnchor>
  <xdr:oneCellAnchor>
    <xdr:from>
      <xdr:col>9</xdr:col>
      <xdr:colOff>314325</xdr:colOff>
      <xdr:row>4</xdr:row>
      <xdr:rowOff>66675</xdr:rowOff>
    </xdr:from>
    <xdr:ext cx="1485900" cy="1314450"/>
    <xdr:sp>
      <xdr:nvSpPr>
        <xdr:cNvPr id="85" name="Shape 85"/>
        <xdr:cNvSpPr/>
      </xdr:nvSpPr>
      <xdr:spPr>
        <a:xfrm>
          <a:off x="3302650" y="1426350"/>
          <a:ext cx="1464600" cy="13497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60’ (seats 8-10)</a:t>
          </a:r>
          <a:endParaRPr sz="1400"/>
        </a:p>
      </xdr:txBody>
    </xdr:sp>
    <xdr:clientData fLocksWithSheet="0"/>
  </xdr:oneCellAnchor>
  <xdr:oneCellAnchor>
    <xdr:from>
      <xdr:col>9</xdr:col>
      <xdr:colOff>323850</xdr:colOff>
      <xdr:row>6</xdr:row>
      <xdr:rowOff>-209550</xdr:rowOff>
    </xdr:from>
    <xdr:ext cx="1504950" cy="1304925"/>
    <xdr:sp>
      <xdr:nvSpPr>
        <xdr:cNvPr id="86" name="Shape 86"/>
        <xdr:cNvSpPr/>
      </xdr:nvSpPr>
      <xdr:spPr>
        <a:xfrm>
          <a:off x="3666400" y="1675250"/>
          <a:ext cx="1483800" cy="12828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60’ (seats 8-10)</a:t>
          </a:r>
          <a:endParaRPr sz="1400"/>
        </a:p>
      </xdr:txBody>
    </xdr:sp>
    <xdr:clientData fLocksWithSheet="0"/>
  </xdr:oneCellAnchor>
  <xdr:oneCellAnchor>
    <xdr:from>
      <xdr:col>9</xdr:col>
      <xdr:colOff>352425</xdr:colOff>
      <xdr:row>11</xdr:row>
      <xdr:rowOff>180975</xdr:rowOff>
    </xdr:from>
    <xdr:ext cx="1057275" cy="971550"/>
    <xdr:sp>
      <xdr:nvSpPr>
        <xdr:cNvPr id="87" name="Shape 87"/>
        <xdr:cNvSpPr/>
      </xdr:nvSpPr>
      <xdr:spPr>
        <a:xfrm>
          <a:off x="3293075" y="1943300"/>
          <a:ext cx="995700" cy="914100"/>
        </a:xfrm>
        <a:prstGeom prst="ellipse">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48’ (seats 6)</a:t>
          </a:r>
          <a:endParaRPr sz="1000"/>
        </a:p>
      </xdr:txBody>
    </xdr:sp>
    <xdr:clientData fLocksWithSheet="0"/>
  </xdr:oneCellAnchor>
  <xdr:oneCellAnchor>
    <xdr:from>
      <xdr:col>9</xdr:col>
      <xdr:colOff>333375</xdr:colOff>
      <xdr:row>11</xdr:row>
      <xdr:rowOff>133350</xdr:rowOff>
    </xdr:from>
    <xdr:ext cx="1104900" cy="1066800"/>
    <xdr:sp>
      <xdr:nvSpPr>
        <xdr:cNvPr id="88" name="Shape 88"/>
        <xdr:cNvSpPr/>
      </xdr:nvSpPr>
      <xdr:spPr>
        <a:xfrm>
          <a:off x="3465375" y="1799700"/>
          <a:ext cx="1081800" cy="1057800"/>
        </a:xfrm>
        <a:prstGeom prst="ellipse">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48’ (Seats 6)</a:t>
          </a:r>
          <a:endParaRPr sz="1000"/>
        </a:p>
      </xdr:txBody>
    </xdr:sp>
    <xdr:clientData fLocksWithSheet="0"/>
  </xdr:oneCellAnchor>
  <xdr:oneCellAnchor>
    <xdr:from>
      <xdr:col>9</xdr:col>
      <xdr:colOff>495300</xdr:colOff>
      <xdr:row>19</xdr:row>
      <xdr:rowOff>19050</xdr:rowOff>
    </xdr:from>
    <xdr:ext cx="923925" cy="762000"/>
    <xdr:sp>
      <xdr:nvSpPr>
        <xdr:cNvPr id="89" name="Shape 89"/>
        <xdr:cNvSpPr/>
      </xdr:nvSpPr>
      <xdr:spPr>
        <a:xfrm>
          <a:off x="3092025" y="1761400"/>
          <a:ext cx="1024200" cy="880800"/>
        </a:xfrm>
        <a:prstGeom prst="ellipse">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Cake </a:t>
          </a:r>
          <a:endParaRPr sz="1400"/>
        </a:p>
      </xdr:txBody>
    </xdr:sp>
    <xdr:clientData fLocksWithSheet="0"/>
  </xdr:oneCellAnchor>
  <xdr:oneCellAnchor>
    <xdr:from>
      <xdr:col>9</xdr:col>
      <xdr:colOff>314325</xdr:colOff>
      <xdr:row>24</xdr:row>
      <xdr:rowOff>76200</xdr:rowOff>
    </xdr:from>
    <xdr:ext cx="3667125" cy="495300"/>
    <xdr:sp>
      <xdr:nvSpPr>
        <xdr:cNvPr id="90" name="Shape 90"/>
        <xdr:cNvSpPr/>
      </xdr:nvSpPr>
      <xdr:spPr>
        <a:xfrm>
          <a:off x="2029450" y="1273200"/>
          <a:ext cx="3647400" cy="430800"/>
        </a:xfrm>
        <a:prstGeom prst="rect">
          <a:avLst/>
        </a:prstGeom>
        <a:solidFill>
          <a:srgbClr val="A2C4C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 (seats 10)</a:t>
          </a:r>
          <a:endParaRPr sz="1400"/>
        </a:p>
      </xdr:txBody>
    </xdr:sp>
    <xdr:clientData fLocksWithSheet="0"/>
  </xdr:oneCellAnchor>
  <xdr:oneCellAnchor>
    <xdr:from>
      <xdr:col>9</xdr:col>
      <xdr:colOff>314325</xdr:colOff>
      <xdr:row>24</xdr:row>
      <xdr:rowOff>76200</xdr:rowOff>
    </xdr:from>
    <xdr:ext cx="3667125" cy="495300"/>
    <xdr:sp>
      <xdr:nvSpPr>
        <xdr:cNvPr id="91" name="Shape 91"/>
        <xdr:cNvSpPr/>
      </xdr:nvSpPr>
      <xdr:spPr>
        <a:xfrm>
          <a:off x="2019875" y="1263625"/>
          <a:ext cx="3771600" cy="411600"/>
        </a:xfrm>
        <a:prstGeom prst="rect">
          <a:avLst/>
        </a:prstGeom>
        <a:solidFill>
          <a:srgbClr val="A2C4C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 (seats 10)</a:t>
          </a:r>
          <a:endParaRPr sz="1400"/>
        </a:p>
      </xdr:txBody>
    </xdr:sp>
    <xdr:clientData fLocksWithSheet="0"/>
  </xdr:oneCellAnchor>
  <xdr:oneCellAnchor>
    <xdr:from>
      <xdr:col>9</xdr:col>
      <xdr:colOff>314325</xdr:colOff>
      <xdr:row>24</xdr:row>
      <xdr:rowOff>76200</xdr:rowOff>
    </xdr:from>
    <xdr:ext cx="3667125" cy="447675"/>
    <xdr:sp>
      <xdr:nvSpPr>
        <xdr:cNvPr id="92" name="Shape 92"/>
        <xdr:cNvSpPr/>
      </xdr:nvSpPr>
      <xdr:spPr>
        <a:xfrm>
          <a:off x="2134750" y="1435925"/>
          <a:ext cx="3293100" cy="363900"/>
        </a:xfrm>
        <a:prstGeom prst="rect">
          <a:avLst/>
        </a:prstGeom>
        <a:solidFill>
          <a:srgbClr val="A2C4C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 (seats 10)</a:t>
          </a:r>
          <a:endParaRPr sz="1400"/>
        </a:p>
      </xdr:txBody>
    </xdr:sp>
    <xdr:clientData fLocksWithSheet="0"/>
  </xdr:oneCellAnchor>
  <xdr:oneCellAnchor>
    <xdr:from>
      <xdr:col>9</xdr:col>
      <xdr:colOff>333375</xdr:colOff>
      <xdr:row>24</xdr:row>
      <xdr:rowOff>76200</xdr:rowOff>
    </xdr:from>
    <xdr:ext cx="3619500" cy="447675"/>
    <xdr:sp>
      <xdr:nvSpPr>
        <xdr:cNvPr id="93" name="Shape 93"/>
        <xdr:cNvSpPr/>
      </xdr:nvSpPr>
      <xdr:spPr>
        <a:xfrm>
          <a:off x="1713550" y="1407200"/>
          <a:ext cx="3465300" cy="421200"/>
        </a:xfrm>
        <a:prstGeom prst="rect">
          <a:avLst/>
        </a:prstGeom>
        <a:solidFill>
          <a:srgbClr val="A2C4C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 (seats 10)</a:t>
          </a:r>
          <a:endParaRPr sz="1400"/>
        </a:p>
      </xdr:txBody>
    </xdr:sp>
    <xdr:clientData fLocksWithSheet="0"/>
  </xdr:oneCellAnchor>
  <xdr:oneCellAnchor>
    <xdr:from>
      <xdr:col>9</xdr:col>
      <xdr:colOff>314325</xdr:colOff>
      <xdr:row>24</xdr:row>
      <xdr:rowOff>76200</xdr:rowOff>
    </xdr:from>
    <xdr:ext cx="3667125" cy="495300"/>
    <xdr:sp>
      <xdr:nvSpPr>
        <xdr:cNvPr id="94" name="Shape 94"/>
        <xdr:cNvSpPr/>
      </xdr:nvSpPr>
      <xdr:spPr>
        <a:xfrm>
          <a:off x="2354925" y="1349775"/>
          <a:ext cx="3589800" cy="516900"/>
        </a:xfrm>
        <a:prstGeom prst="rect">
          <a:avLst/>
        </a:prstGeom>
        <a:solidFill>
          <a:srgbClr val="A2C4C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 (seats 10)</a:t>
          </a:r>
          <a:endParaRPr sz="1400"/>
        </a:p>
      </xdr:txBody>
    </xdr:sp>
    <xdr:clientData fLocksWithSheet="0"/>
  </xdr:oneCellAnchor>
  <xdr:oneCellAnchor>
    <xdr:from>
      <xdr:col>9</xdr:col>
      <xdr:colOff>333375</xdr:colOff>
      <xdr:row>29</xdr:row>
      <xdr:rowOff>19050</xdr:rowOff>
    </xdr:from>
    <xdr:ext cx="2343150" cy="466725"/>
    <xdr:sp>
      <xdr:nvSpPr>
        <xdr:cNvPr id="95" name="Shape 95"/>
        <xdr:cNvSpPr/>
      </xdr:nvSpPr>
      <xdr:spPr>
        <a:xfrm>
          <a:off x="2335775" y="938150"/>
          <a:ext cx="2287800" cy="4308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9</xdr:col>
      <xdr:colOff>333375</xdr:colOff>
      <xdr:row>29</xdr:row>
      <xdr:rowOff>9525</xdr:rowOff>
    </xdr:from>
    <xdr:ext cx="2343150" cy="466725"/>
    <xdr:sp>
      <xdr:nvSpPr>
        <xdr:cNvPr id="96" name="Shape 96"/>
        <xdr:cNvSpPr/>
      </xdr:nvSpPr>
      <xdr:spPr>
        <a:xfrm>
          <a:off x="1790125" y="1359350"/>
          <a:ext cx="2718600" cy="4500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9</xdr:col>
      <xdr:colOff>304800</xdr:colOff>
      <xdr:row>29</xdr:row>
      <xdr:rowOff>19050</xdr:rowOff>
    </xdr:from>
    <xdr:ext cx="2343150" cy="447675"/>
    <xdr:sp>
      <xdr:nvSpPr>
        <xdr:cNvPr id="97" name="Shape 97"/>
        <xdr:cNvSpPr/>
      </xdr:nvSpPr>
      <xdr:spPr>
        <a:xfrm>
          <a:off x="2163475" y="957275"/>
          <a:ext cx="2402700" cy="4212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9</xdr:col>
      <xdr:colOff>304800</xdr:colOff>
      <xdr:row>29</xdr:row>
      <xdr:rowOff>19050</xdr:rowOff>
    </xdr:from>
    <xdr:ext cx="2343150" cy="447675"/>
    <xdr:sp>
      <xdr:nvSpPr>
        <xdr:cNvPr id="98" name="Shape 98"/>
        <xdr:cNvSpPr/>
      </xdr:nvSpPr>
      <xdr:spPr>
        <a:xfrm>
          <a:off x="2106025" y="995575"/>
          <a:ext cx="2450700" cy="4308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9</xdr:col>
      <xdr:colOff>304800</xdr:colOff>
      <xdr:row>29</xdr:row>
      <xdr:rowOff>19050</xdr:rowOff>
    </xdr:from>
    <xdr:ext cx="2343150" cy="457200"/>
    <xdr:sp>
      <xdr:nvSpPr>
        <xdr:cNvPr id="99" name="Shape 99"/>
        <xdr:cNvSpPr/>
      </xdr:nvSpPr>
      <xdr:spPr>
        <a:xfrm>
          <a:off x="2680400" y="1110450"/>
          <a:ext cx="2690100" cy="4404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9</xdr:col>
      <xdr:colOff>304800</xdr:colOff>
      <xdr:row>29</xdr:row>
      <xdr:rowOff>19050</xdr:rowOff>
    </xdr:from>
    <xdr:ext cx="2343150" cy="457200"/>
    <xdr:sp>
      <xdr:nvSpPr>
        <xdr:cNvPr id="100" name="Shape 100"/>
        <xdr:cNvSpPr/>
      </xdr:nvSpPr>
      <xdr:spPr>
        <a:xfrm>
          <a:off x="2354925" y="1273200"/>
          <a:ext cx="2249700" cy="4116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9</xdr:col>
      <xdr:colOff>304800</xdr:colOff>
      <xdr:row>29</xdr:row>
      <xdr:rowOff>19050</xdr:rowOff>
    </xdr:from>
    <xdr:ext cx="2343150" cy="447675"/>
    <xdr:sp>
      <xdr:nvSpPr>
        <xdr:cNvPr id="101" name="Shape 101"/>
        <xdr:cNvSpPr/>
      </xdr:nvSpPr>
      <xdr:spPr>
        <a:xfrm>
          <a:off x="2460225" y="1225325"/>
          <a:ext cx="2584800" cy="3639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9</xdr:col>
      <xdr:colOff>304800</xdr:colOff>
      <xdr:row>29</xdr:row>
      <xdr:rowOff>19050</xdr:rowOff>
    </xdr:from>
    <xdr:ext cx="2343150" cy="447675"/>
    <xdr:sp>
      <xdr:nvSpPr>
        <xdr:cNvPr id="102" name="Shape 102"/>
        <xdr:cNvSpPr/>
      </xdr:nvSpPr>
      <xdr:spPr>
        <a:xfrm>
          <a:off x="1790125" y="1598675"/>
          <a:ext cx="2192100" cy="4116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6 foot (seats 6)</a:t>
          </a:r>
          <a:endParaRPr sz="1400"/>
        </a:p>
      </xdr:txBody>
    </xdr:sp>
    <xdr:clientData fLocksWithSheet="0"/>
  </xdr:oneCellAnchor>
  <xdr:oneCellAnchor>
    <xdr:from>
      <xdr:col>10</xdr:col>
      <xdr:colOff>857250</xdr:colOff>
      <xdr:row>10</xdr:row>
      <xdr:rowOff>142875</xdr:rowOff>
    </xdr:from>
    <xdr:ext cx="923925" cy="885825"/>
    <xdr:sp>
      <xdr:nvSpPr>
        <xdr:cNvPr id="103" name="Shape 103"/>
        <xdr:cNvSpPr/>
      </xdr:nvSpPr>
      <xdr:spPr>
        <a:xfrm>
          <a:off x="3647250" y="1703975"/>
          <a:ext cx="966900" cy="918900"/>
        </a:xfrm>
        <a:prstGeom prst="flowChartConnector">
          <a:avLst/>
        </a:prstGeom>
        <a:solidFill>
          <a:srgbClr val="C9DAF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Cocktail Table</a:t>
          </a:r>
          <a:endParaRPr sz="800"/>
        </a:p>
      </xdr:txBody>
    </xdr:sp>
    <xdr:clientData fLocksWithSheet="0"/>
  </xdr:oneCellAnchor>
  <xdr:oneCellAnchor>
    <xdr:from>
      <xdr:col>10</xdr:col>
      <xdr:colOff>857250</xdr:colOff>
      <xdr:row>10</xdr:row>
      <xdr:rowOff>180975</xdr:rowOff>
    </xdr:from>
    <xdr:ext cx="923925" cy="838200"/>
    <xdr:sp>
      <xdr:nvSpPr>
        <xdr:cNvPr id="104" name="Shape 104"/>
        <xdr:cNvSpPr/>
      </xdr:nvSpPr>
      <xdr:spPr>
        <a:xfrm>
          <a:off x="3340925" y="1723125"/>
          <a:ext cx="909300" cy="823200"/>
        </a:xfrm>
        <a:prstGeom prst="flowChartConnector">
          <a:avLst/>
        </a:prstGeom>
        <a:solidFill>
          <a:srgbClr val="C9DAF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Cocktail Table</a:t>
          </a:r>
          <a:endParaRPr sz="800"/>
        </a:p>
      </xdr:txBody>
    </xdr:sp>
    <xdr:clientData fLocksWithSheet="0"/>
  </xdr:oneCellAnchor>
  <xdr:oneCellAnchor>
    <xdr:from>
      <xdr:col>10</xdr:col>
      <xdr:colOff>828675</xdr:colOff>
      <xdr:row>10</xdr:row>
      <xdr:rowOff>161925</xdr:rowOff>
    </xdr:from>
    <xdr:ext cx="981075" cy="866775"/>
    <xdr:sp>
      <xdr:nvSpPr>
        <xdr:cNvPr id="105" name="Shape 105"/>
        <xdr:cNvSpPr/>
      </xdr:nvSpPr>
      <xdr:spPr>
        <a:xfrm>
          <a:off x="3800425" y="1742250"/>
          <a:ext cx="957300" cy="852000"/>
        </a:xfrm>
        <a:prstGeom prst="flowChartConnector">
          <a:avLst/>
        </a:prstGeom>
        <a:solidFill>
          <a:srgbClr val="C9DAF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Cocktail Table</a:t>
          </a:r>
          <a:endParaRPr sz="800"/>
        </a:p>
      </xdr:txBody>
    </xdr:sp>
    <xdr:clientData fLocksWithSheet="0"/>
  </xdr:oneCellAnchor>
  <xdr:oneCellAnchor>
    <xdr:from>
      <xdr:col>10</xdr:col>
      <xdr:colOff>942975</xdr:colOff>
      <xdr:row>11</xdr:row>
      <xdr:rowOff>19050</xdr:rowOff>
    </xdr:from>
    <xdr:ext cx="752475" cy="762000"/>
    <xdr:sp>
      <xdr:nvSpPr>
        <xdr:cNvPr id="106" name="Shape 106"/>
        <xdr:cNvSpPr/>
      </xdr:nvSpPr>
      <xdr:spPr>
        <a:xfrm>
          <a:off x="3484525" y="1598675"/>
          <a:ext cx="957300" cy="928500"/>
        </a:xfrm>
        <a:prstGeom prst="flowChartConnector">
          <a:avLst/>
        </a:prstGeom>
        <a:solidFill>
          <a:srgbClr val="C9DAF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Cocktail Table</a:t>
          </a:r>
          <a:endParaRPr sz="800"/>
        </a:p>
      </xdr:txBody>
    </xdr:sp>
    <xdr:clientData fLocksWithSheet="0"/>
  </xdr:oneCellAnchor>
  <xdr:oneCellAnchor>
    <xdr:from>
      <xdr:col>10</xdr:col>
      <xdr:colOff>914400</xdr:colOff>
      <xdr:row>11</xdr:row>
      <xdr:rowOff>19050</xdr:rowOff>
    </xdr:from>
    <xdr:ext cx="800100" cy="762000"/>
    <xdr:sp>
      <xdr:nvSpPr>
        <xdr:cNvPr id="107" name="Shape 107"/>
        <xdr:cNvSpPr/>
      </xdr:nvSpPr>
      <xdr:spPr>
        <a:xfrm>
          <a:off x="3474950" y="1598675"/>
          <a:ext cx="918900" cy="785100"/>
        </a:xfrm>
        <a:prstGeom prst="flowChartConnector">
          <a:avLst/>
        </a:prstGeom>
        <a:solidFill>
          <a:srgbClr val="C9DAF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Cocktail Table</a:t>
          </a:r>
          <a:endParaRPr sz="800"/>
        </a:p>
      </xdr:txBody>
    </xdr:sp>
    <xdr:clientData fLocksWithSheet="0"/>
  </xdr:oneCellAnchor>
  <xdr:oneCellAnchor>
    <xdr:from>
      <xdr:col>10</xdr:col>
      <xdr:colOff>942975</xdr:colOff>
      <xdr:row>10</xdr:row>
      <xdr:rowOff>180975</xdr:rowOff>
    </xdr:from>
    <xdr:ext cx="800100" cy="704850"/>
    <xdr:sp>
      <xdr:nvSpPr>
        <xdr:cNvPr id="108" name="Shape 108"/>
        <xdr:cNvSpPr/>
      </xdr:nvSpPr>
      <xdr:spPr>
        <a:xfrm>
          <a:off x="3608975" y="1483800"/>
          <a:ext cx="842400" cy="785100"/>
        </a:xfrm>
        <a:prstGeom prst="flowChartConnector">
          <a:avLst/>
        </a:prstGeom>
        <a:solidFill>
          <a:srgbClr val="C9DAF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Cocktail Table</a:t>
          </a:r>
          <a:endParaRPr sz="800"/>
        </a:p>
      </xdr:txBody>
    </xdr:sp>
    <xdr:clientData fLocksWithSheet="0"/>
  </xdr:oneCellAnchor>
  <xdr:oneCellAnchor>
    <xdr:from>
      <xdr:col>9</xdr:col>
      <xdr:colOff>200025</xdr:colOff>
      <xdr:row>31</xdr:row>
      <xdr:rowOff>190500</xdr:rowOff>
    </xdr:from>
    <xdr:ext cx="571500" cy="2514600"/>
    <xdr:sp>
      <xdr:nvSpPr>
        <xdr:cNvPr id="109" name="Shape 109"/>
        <xdr:cNvSpPr/>
      </xdr:nvSpPr>
      <xdr:spPr>
        <a:xfrm rot="5400000">
          <a:off x="3178200" y="1014725"/>
          <a:ext cx="2737800" cy="5553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Food Table</a:t>
          </a:r>
          <a:endParaRPr sz="1400"/>
        </a:p>
      </xdr:txBody>
    </xdr:sp>
    <xdr:clientData fLocksWithSheet="0"/>
  </xdr:oneCellAnchor>
  <xdr:oneCellAnchor>
    <xdr:from>
      <xdr:col>10</xdr:col>
      <xdr:colOff>28575</xdr:colOff>
      <xdr:row>31</xdr:row>
      <xdr:rowOff>190500</xdr:rowOff>
    </xdr:from>
    <xdr:ext cx="447675" cy="1838325"/>
    <xdr:sp>
      <xdr:nvSpPr>
        <xdr:cNvPr id="110" name="Shape 110"/>
        <xdr:cNvSpPr/>
      </xdr:nvSpPr>
      <xdr:spPr>
        <a:xfrm rot="-5400000">
          <a:off x="2125175" y="1273200"/>
          <a:ext cx="2249700" cy="4308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Sweetheart Table</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oktvtartz0T-YJUNu-9UWFx7008Eiz8I/view?usp=sharing" TargetMode="External"/><Relationship Id="rId2" Type="http://schemas.openxmlformats.org/officeDocument/2006/relationships/hyperlink" Target="https://drive.google.com/file/d/1ieDoSOMjQ5DWMKrUzqE-4aXPGe8u9tH0/view?usp=sharing" TargetMode="External"/><Relationship Id="rId3" Type="http://schemas.openxmlformats.org/officeDocument/2006/relationships/hyperlink" Target="https://drive.google.com/file/d/1299Um_cOtyhlVQn7gvMf_SQh6EIZicq0/view?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23.13"/>
    <col customWidth="1" min="2" max="2" width="36.13"/>
    <col customWidth="1" min="3" max="3" width="27.75"/>
    <col customWidth="1" min="4" max="5" width="20.5"/>
    <col customWidth="1" min="6" max="6" width="23.75"/>
    <col customWidth="1" min="7" max="7" width="19.63"/>
    <col customWidth="1" min="8" max="9" width="26.13"/>
    <col customWidth="1" min="10" max="10" width="17.75"/>
  </cols>
  <sheetData>
    <row r="1">
      <c r="A1" s="1" t="s">
        <v>0</v>
      </c>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1</v>
      </c>
      <c r="B4" s="4"/>
      <c r="C4" s="5" t="s">
        <v>2</v>
      </c>
      <c r="D4" s="6"/>
      <c r="E4" s="5" t="s">
        <v>3</v>
      </c>
      <c r="F4" s="6"/>
      <c r="G4" s="5"/>
      <c r="I4" s="2"/>
      <c r="J4" s="2"/>
      <c r="K4" s="2"/>
      <c r="L4" s="2"/>
      <c r="M4" s="2"/>
      <c r="N4" s="2"/>
      <c r="O4" s="2"/>
      <c r="P4" s="2"/>
      <c r="Q4" s="2"/>
      <c r="R4" s="2"/>
      <c r="S4" s="2"/>
      <c r="T4" s="2"/>
      <c r="U4" s="2"/>
      <c r="V4" s="2"/>
      <c r="W4" s="2"/>
      <c r="X4" s="2"/>
      <c r="Y4" s="2"/>
      <c r="Z4" s="2"/>
      <c r="AA4" s="2"/>
      <c r="AB4" s="2"/>
      <c r="AC4" s="2"/>
      <c r="AD4" s="2"/>
      <c r="AE4" s="2"/>
      <c r="AF4" s="2"/>
      <c r="AG4" s="2"/>
      <c r="AH4" s="2"/>
    </row>
    <row r="5">
      <c r="A5" s="3" t="s">
        <v>4</v>
      </c>
      <c r="B5" s="7" t="s">
        <v>5</v>
      </c>
      <c r="C5" s="5" t="s">
        <v>6</v>
      </c>
      <c r="D5" s="8" t="s">
        <v>7</v>
      </c>
      <c r="E5" s="9" t="s">
        <v>8</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9</v>
      </c>
      <c r="I7" s="2"/>
      <c r="J7" s="2"/>
      <c r="K7" s="2"/>
      <c r="L7" s="2"/>
      <c r="M7" s="2"/>
      <c r="N7" s="2"/>
      <c r="O7" s="2"/>
      <c r="P7" s="2"/>
      <c r="Q7" s="2"/>
      <c r="R7" s="2"/>
      <c r="S7" s="2"/>
      <c r="T7" s="2"/>
      <c r="U7" s="2"/>
      <c r="V7" s="2"/>
      <c r="W7" s="2"/>
      <c r="X7" s="2"/>
      <c r="Y7" s="2"/>
      <c r="Z7" s="2"/>
      <c r="AA7" s="2"/>
      <c r="AB7" s="2"/>
      <c r="AC7" s="2"/>
      <c r="AD7" s="2"/>
      <c r="AE7" s="2"/>
      <c r="AF7" s="2"/>
      <c r="AG7" s="2"/>
      <c r="AH7" s="2"/>
    </row>
    <row r="8">
      <c r="A8" s="14" t="s">
        <v>10</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11</v>
      </c>
      <c r="B11" s="15"/>
      <c r="C11" s="4"/>
      <c r="D11" s="16"/>
      <c r="E11" s="17"/>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8" t="s">
        <v>12</v>
      </c>
      <c r="B12" s="2"/>
      <c r="C12" s="16"/>
      <c r="D12" s="19"/>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0"/>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ht="33.75" customHeight="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row>
    <row r="15" ht="16.5" customHeight="1">
      <c r="A15" s="20" t="s">
        <v>13</v>
      </c>
      <c r="B15" s="22" t="s">
        <v>14</v>
      </c>
      <c r="C15" s="23" t="s">
        <v>15</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row>
    <row r="16">
      <c r="A16" s="24" t="s">
        <v>16</v>
      </c>
      <c r="B16" s="25"/>
      <c r="C16" s="25"/>
      <c r="D16" s="9"/>
      <c r="E16" s="9"/>
      <c r="F16" s="9"/>
      <c r="G16" s="9"/>
      <c r="H16" s="9"/>
      <c r="I16" s="9"/>
      <c r="O16" s="2"/>
      <c r="P16" s="2"/>
      <c r="Q16" s="2"/>
      <c r="R16" s="2"/>
      <c r="S16" s="2"/>
      <c r="T16" s="2"/>
      <c r="U16" s="2"/>
      <c r="V16" s="2"/>
      <c r="W16" s="2"/>
      <c r="X16" s="2"/>
      <c r="Y16" s="2"/>
      <c r="Z16" s="2"/>
      <c r="AA16" s="2"/>
      <c r="AB16" s="2"/>
      <c r="AC16" s="2"/>
      <c r="AD16" s="2"/>
      <c r="AE16" s="2"/>
      <c r="AF16" s="2"/>
      <c r="AG16" s="2"/>
      <c r="AH16" s="2"/>
    </row>
    <row r="17">
      <c r="A17" s="3" t="s">
        <v>17</v>
      </c>
      <c r="B17" s="26"/>
      <c r="C17" s="27"/>
      <c r="D17" s="9"/>
      <c r="E17" s="9"/>
      <c r="F17" s="9"/>
      <c r="G17" s="9"/>
      <c r="H17" s="9"/>
      <c r="I17" s="9"/>
      <c r="J17" s="16"/>
      <c r="K17" s="16"/>
      <c r="L17" s="16"/>
      <c r="M17" s="16"/>
      <c r="N17" s="2"/>
      <c r="O17" s="2"/>
      <c r="P17" s="2"/>
      <c r="Q17" s="2"/>
      <c r="R17" s="2"/>
      <c r="S17" s="2"/>
      <c r="T17" s="2"/>
      <c r="U17" s="2"/>
      <c r="V17" s="2"/>
      <c r="W17" s="2"/>
      <c r="X17" s="2"/>
      <c r="Y17" s="2"/>
      <c r="Z17" s="2"/>
      <c r="AA17" s="2"/>
      <c r="AB17" s="2"/>
      <c r="AC17" s="2"/>
      <c r="AD17" s="2"/>
      <c r="AE17" s="2"/>
      <c r="AF17" s="2"/>
      <c r="AG17" s="2"/>
      <c r="AH17" s="2"/>
    </row>
    <row r="18">
      <c r="A18" s="3" t="s">
        <v>18</v>
      </c>
      <c r="B18" s="26"/>
      <c r="C18" s="27"/>
      <c r="D18" s="9"/>
      <c r="E18" s="9"/>
      <c r="F18" s="9"/>
      <c r="G18" s="9"/>
      <c r="H18" s="9"/>
      <c r="I18" s="9"/>
      <c r="J18" s="16"/>
      <c r="K18" s="16"/>
      <c r="L18" s="16"/>
      <c r="M18" s="16"/>
      <c r="N18" s="2"/>
      <c r="O18" s="2"/>
      <c r="P18" s="2"/>
      <c r="Q18" s="2"/>
      <c r="R18" s="2"/>
      <c r="S18" s="2"/>
      <c r="T18" s="2"/>
      <c r="U18" s="2"/>
      <c r="V18" s="2"/>
      <c r="W18" s="2"/>
      <c r="X18" s="2"/>
      <c r="Y18" s="2"/>
      <c r="Z18" s="2"/>
      <c r="AA18" s="2"/>
      <c r="AB18" s="2"/>
      <c r="AC18" s="2"/>
      <c r="AD18" s="2"/>
      <c r="AE18" s="2"/>
      <c r="AF18" s="2"/>
      <c r="AG18" s="2"/>
      <c r="AH18" s="2"/>
    </row>
    <row r="19">
      <c r="A19" s="3" t="s">
        <v>19</v>
      </c>
      <c r="B19" s="26"/>
      <c r="C19" s="27"/>
      <c r="D19" s="9"/>
      <c r="E19" s="9"/>
      <c r="F19" s="9"/>
      <c r="G19" s="9"/>
      <c r="H19" s="9"/>
      <c r="I19" s="9"/>
      <c r="J19" s="16"/>
      <c r="K19" s="16"/>
      <c r="L19" s="16"/>
      <c r="M19" s="16"/>
      <c r="N19" s="2"/>
      <c r="O19" s="2"/>
      <c r="P19" s="2"/>
      <c r="Q19" s="2"/>
      <c r="R19" s="2"/>
      <c r="S19" s="2"/>
      <c r="T19" s="2"/>
      <c r="U19" s="2"/>
      <c r="V19" s="2"/>
      <c r="W19" s="2"/>
      <c r="X19" s="2"/>
      <c r="Y19" s="2"/>
      <c r="Z19" s="2"/>
      <c r="AA19" s="2"/>
      <c r="AB19" s="2"/>
      <c r="AC19" s="2"/>
      <c r="AD19" s="2"/>
      <c r="AE19" s="2"/>
      <c r="AF19" s="2"/>
      <c r="AG19" s="2"/>
      <c r="AH19" s="2"/>
    </row>
    <row r="20">
      <c r="A20" s="3" t="s">
        <v>20</v>
      </c>
      <c r="B20" s="26"/>
      <c r="C20" s="28"/>
      <c r="D20" s="9"/>
      <c r="E20" s="9"/>
      <c r="F20" s="9"/>
      <c r="G20" s="9"/>
      <c r="H20" s="9"/>
      <c r="I20" s="9"/>
      <c r="J20" s="16"/>
      <c r="K20" s="16"/>
      <c r="L20" s="16"/>
      <c r="M20" s="16"/>
      <c r="N20" s="2"/>
      <c r="O20" s="2"/>
      <c r="P20" s="2"/>
      <c r="Q20" s="2"/>
      <c r="R20" s="2"/>
      <c r="S20" s="2"/>
      <c r="T20" s="2"/>
      <c r="U20" s="2"/>
      <c r="V20" s="2"/>
      <c r="W20" s="2"/>
      <c r="X20" s="2"/>
      <c r="Y20" s="2"/>
      <c r="Z20" s="2"/>
      <c r="AA20" s="2"/>
      <c r="AB20" s="2"/>
      <c r="AC20" s="2"/>
      <c r="AD20" s="2"/>
      <c r="AE20" s="2"/>
      <c r="AF20" s="2"/>
      <c r="AG20" s="2"/>
      <c r="AH20" s="2"/>
    </row>
    <row r="21">
      <c r="A21" s="3" t="s">
        <v>21</v>
      </c>
      <c r="B21" s="26"/>
      <c r="C21" s="28"/>
      <c r="D21" s="14"/>
      <c r="E21" s="14"/>
      <c r="F21" s="14"/>
      <c r="G21" s="14"/>
      <c r="H21" s="14"/>
      <c r="I21" s="14"/>
      <c r="O21" s="2"/>
      <c r="P21" s="2"/>
      <c r="Q21" s="2"/>
      <c r="R21" s="2"/>
      <c r="S21" s="2"/>
      <c r="T21" s="2"/>
      <c r="U21" s="2"/>
      <c r="V21" s="2"/>
      <c r="W21" s="2"/>
      <c r="X21" s="2"/>
      <c r="Y21" s="2"/>
      <c r="Z21" s="2"/>
      <c r="AA21" s="2"/>
      <c r="AB21" s="2"/>
      <c r="AC21" s="2"/>
      <c r="AD21" s="2"/>
      <c r="AE21" s="2"/>
      <c r="AF21" s="2"/>
      <c r="AG21" s="2"/>
      <c r="AH21" s="2"/>
    </row>
    <row r="22">
      <c r="A22" s="3" t="s">
        <v>22</v>
      </c>
      <c r="B22" s="26"/>
      <c r="C22" s="27"/>
      <c r="D22" s="9"/>
      <c r="E22" s="9"/>
      <c r="F22" s="9"/>
      <c r="G22" s="9"/>
      <c r="H22" s="9"/>
      <c r="I22" s="9"/>
      <c r="O22" s="2"/>
      <c r="P22" s="2"/>
      <c r="Q22" s="2"/>
      <c r="R22" s="2"/>
      <c r="S22" s="2"/>
      <c r="T22" s="2"/>
      <c r="U22" s="2"/>
      <c r="V22" s="2"/>
      <c r="W22" s="2"/>
      <c r="X22" s="2"/>
      <c r="Y22" s="2"/>
      <c r="Z22" s="2"/>
      <c r="AA22" s="2"/>
      <c r="AB22" s="2"/>
      <c r="AC22" s="2"/>
      <c r="AD22" s="2"/>
      <c r="AE22" s="2"/>
      <c r="AF22" s="2"/>
      <c r="AG22" s="2"/>
      <c r="AH22" s="2"/>
    </row>
    <row r="23">
      <c r="A23" s="29" t="s">
        <v>23</v>
      </c>
      <c r="B23" s="26"/>
      <c r="C23" s="27"/>
      <c r="D23" s="9"/>
      <c r="E23" s="9"/>
      <c r="F23" s="9"/>
      <c r="G23" s="9"/>
      <c r="H23" s="9"/>
      <c r="I23" s="9"/>
      <c r="O23" s="2"/>
      <c r="P23" s="2"/>
      <c r="Q23" s="2"/>
      <c r="R23" s="2"/>
      <c r="S23" s="2"/>
      <c r="T23" s="2"/>
      <c r="U23" s="2"/>
      <c r="V23" s="2"/>
      <c r="W23" s="2"/>
      <c r="X23" s="2"/>
      <c r="Y23" s="2"/>
      <c r="Z23" s="2"/>
      <c r="AA23" s="2"/>
      <c r="AB23" s="2"/>
      <c r="AC23" s="2"/>
      <c r="AD23" s="2"/>
      <c r="AE23" s="2"/>
      <c r="AF23" s="2"/>
      <c r="AG23" s="2"/>
      <c r="AH23" s="2"/>
    </row>
    <row r="24">
      <c r="A24" s="3" t="s">
        <v>24</v>
      </c>
      <c r="B24" s="26"/>
      <c r="C24" s="27"/>
      <c r="D24" s="9"/>
      <c r="E24" s="9"/>
      <c r="F24" s="9"/>
      <c r="G24" s="9"/>
      <c r="H24" s="9"/>
      <c r="I24" s="9"/>
      <c r="J24" s="16"/>
      <c r="K24" s="16"/>
      <c r="L24" s="16"/>
      <c r="M24" s="16"/>
      <c r="N24" s="2"/>
      <c r="O24" s="2"/>
      <c r="P24" s="2"/>
      <c r="Q24" s="2"/>
      <c r="R24" s="2"/>
      <c r="S24" s="2"/>
      <c r="T24" s="2"/>
      <c r="U24" s="2"/>
      <c r="V24" s="2"/>
      <c r="W24" s="2"/>
      <c r="X24" s="2"/>
      <c r="Y24" s="2"/>
      <c r="Z24" s="2"/>
      <c r="AA24" s="2"/>
      <c r="AB24" s="2"/>
      <c r="AC24" s="2"/>
      <c r="AD24" s="2"/>
      <c r="AE24" s="2"/>
      <c r="AF24" s="2"/>
      <c r="AG24" s="2"/>
      <c r="AH24" s="2"/>
    </row>
    <row r="25">
      <c r="A25" s="3" t="s">
        <v>25</v>
      </c>
      <c r="B25" s="26"/>
      <c r="C25" s="27"/>
      <c r="D25" s="16"/>
      <c r="E25" s="16"/>
      <c r="F25" s="16"/>
      <c r="G25" s="16"/>
      <c r="H25" s="16"/>
      <c r="I25" s="16"/>
      <c r="J25" s="16"/>
      <c r="K25" s="16"/>
      <c r="L25" s="16"/>
      <c r="M25" s="16"/>
      <c r="N25" s="2"/>
      <c r="O25" s="2"/>
      <c r="P25" s="2"/>
      <c r="Q25" s="2"/>
      <c r="R25" s="2"/>
      <c r="S25" s="2"/>
      <c r="T25" s="2"/>
      <c r="U25" s="2"/>
      <c r="V25" s="2"/>
      <c r="W25" s="2"/>
      <c r="X25" s="2"/>
      <c r="Y25" s="2"/>
      <c r="Z25" s="2"/>
      <c r="AA25" s="2"/>
      <c r="AB25" s="2"/>
      <c r="AC25" s="2"/>
      <c r="AD25" s="2"/>
      <c r="AE25" s="2"/>
      <c r="AF25" s="2"/>
      <c r="AG25" s="2"/>
      <c r="AH25" s="2"/>
    </row>
    <row r="26">
      <c r="A26" s="3" t="s">
        <v>26</v>
      </c>
      <c r="B26" s="26"/>
      <c r="C26" s="27"/>
      <c r="D26" s="16"/>
      <c r="E26" s="16"/>
      <c r="F26" s="16"/>
      <c r="G26" s="16"/>
      <c r="H26" s="16"/>
      <c r="I26" s="16"/>
      <c r="J26" s="16"/>
      <c r="K26" s="16"/>
      <c r="L26" s="16"/>
      <c r="M26" s="16"/>
      <c r="N26" s="2"/>
      <c r="O26" s="2"/>
      <c r="P26" s="2"/>
      <c r="Q26" s="2"/>
      <c r="R26" s="2"/>
      <c r="S26" s="2"/>
      <c r="T26" s="2"/>
      <c r="U26" s="2"/>
      <c r="V26" s="2"/>
      <c r="W26" s="2"/>
      <c r="X26" s="2"/>
      <c r="Y26" s="2"/>
      <c r="Z26" s="2"/>
      <c r="AA26" s="2"/>
      <c r="AB26" s="2"/>
      <c r="AC26" s="2"/>
      <c r="AD26" s="2"/>
      <c r="AE26" s="2"/>
      <c r="AF26" s="2"/>
      <c r="AG26" s="2"/>
      <c r="AH26" s="2"/>
    </row>
    <row r="27">
      <c r="A27" s="3" t="s">
        <v>27</v>
      </c>
      <c r="B27" s="26"/>
      <c r="C27" s="27"/>
      <c r="D27" s="9"/>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A28" s="3" t="s">
        <v>28</v>
      </c>
      <c r="B28" s="26"/>
      <c r="C28" s="27"/>
      <c r="D28" s="9"/>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A29" s="3" t="s">
        <v>29</v>
      </c>
      <c r="B29" s="26"/>
      <c r="C29" s="27"/>
      <c r="D29" s="9"/>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A30" s="3" t="s">
        <v>30</v>
      </c>
      <c r="B30" s="26"/>
      <c r="C30" s="27"/>
      <c r="D30" s="9"/>
      <c r="E30" s="9"/>
      <c r="F30" s="9"/>
      <c r="G30" s="9"/>
      <c r="H30" s="9"/>
      <c r="I30" s="9"/>
      <c r="O30" s="2"/>
      <c r="P30" s="2"/>
      <c r="Q30" s="2"/>
      <c r="R30" s="2"/>
      <c r="S30" s="2"/>
      <c r="T30" s="2"/>
      <c r="U30" s="2"/>
      <c r="V30" s="2"/>
      <c r="W30" s="2"/>
      <c r="X30" s="2"/>
      <c r="Y30" s="2"/>
      <c r="Z30" s="2"/>
      <c r="AA30" s="2"/>
      <c r="AB30" s="2"/>
      <c r="AC30" s="2"/>
      <c r="AD30" s="2"/>
      <c r="AE30" s="2"/>
      <c r="AF30" s="2"/>
      <c r="AG30" s="2"/>
      <c r="AH30" s="2"/>
    </row>
    <row r="31">
      <c r="A31" s="3" t="s">
        <v>31</v>
      </c>
      <c r="B31" s="26"/>
      <c r="C31" s="27"/>
      <c r="D31" s="9"/>
      <c r="E31" s="9"/>
      <c r="F31" s="9"/>
      <c r="G31" s="9"/>
      <c r="H31" s="9"/>
      <c r="I31" s="9"/>
      <c r="O31" s="2"/>
      <c r="P31" s="2"/>
      <c r="Q31" s="2"/>
      <c r="R31" s="2"/>
      <c r="S31" s="2"/>
      <c r="T31" s="2"/>
      <c r="U31" s="2"/>
      <c r="V31" s="2"/>
      <c r="W31" s="2"/>
      <c r="X31" s="2"/>
      <c r="Y31" s="2"/>
      <c r="Z31" s="2"/>
      <c r="AA31" s="2"/>
      <c r="AB31" s="2"/>
      <c r="AC31" s="2"/>
      <c r="AD31" s="2"/>
      <c r="AE31" s="2"/>
      <c r="AF31" s="2"/>
      <c r="AG31" s="2"/>
      <c r="AH31" s="2"/>
    </row>
    <row r="32">
      <c r="A32" s="24" t="s">
        <v>32</v>
      </c>
      <c r="B32" s="25"/>
      <c r="C32" s="25"/>
      <c r="D32" s="9"/>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0" t="s">
        <v>33</v>
      </c>
      <c r="B34" s="30" t="s">
        <v>34</v>
      </c>
      <c r="C34" s="23" t="s">
        <v>35</v>
      </c>
      <c r="D34" s="23" t="s">
        <v>36</v>
      </c>
      <c r="E34" s="23"/>
      <c r="F34" s="31"/>
      <c r="G34" s="23"/>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row>
    <row r="35">
      <c r="A35" s="3" t="s">
        <v>37</v>
      </c>
      <c r="B35" s="32"/>
      <c r="C35" s="33"/>
      <c r="D35" s="33"/>
      <c r="E35" s="33"/>
      <c r="G35" s="33" t="s">
        <v>38</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3"/>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4"/>
      <c r="B37" s="30" t="s">
        <v>34</v>
      </c>
      <c r="C37" s="23" t="s">
        <v>39</v>
      </c>
      <c r="D37" s="23" t="s">
        <v>40</v>
      </c>
      <c r="E37" s="23" t="s">
        <v>41</v>
      </c>
      <c r="F37" s="23" t="s">
        <v>42</v>
      </c>
      <c r="G37" s="23" t="s">
        <v>43</v>
      </c>
      <c r="H37" s="30" t="s">
        <v>44</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row>
    <row r="38">
      <c r="A38" s="3" t="s">
        <v>45</v>
      </c>
      <c r="B38" s="32"/>
      <c r="C38" s="34"/>
      <c r="D38" s="34"/>
      <c r="E38" s="34"/>
      <c r="F38" s="33"/>
      <c r="G38" s="35"/>
      <c r="H38" s="36"/>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3" t="s">
        <v>46</v>
      </c>
      <c r="B39" s="32"/>
      <c r="C39" s="34"/>
      <c r="D39" s="34"/>
      <c r="E39" s="34"/>
      <c r="F39" s="33"/>
      <c r="G39" s="35"/>
      <c r="H39" s="36"/>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3" t="s">
        <v>47</v>
      </c>
      <c r="B40" s="32"/>
      <c r="C40" s="34"/>
      <c r="D40" s="34"/>
      <c r="E40" s="34"/>
      <c r="F40" s="33"/>
      <c r="G40" s="35"/>
      <c r="H40" s="36"/>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3" t="s">
        <v>48</v>
      </c>
      <c r="B41" s="32"/>
      <c r="C41" s="34"/>
      <c r="D41" s="34"/>
      <c r="E41" s="34"/>
      <c r="F41" s="33"/>
      <c r="G41" s="35"/>
      <c r="H41" s="36"/>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3" t="s">
        <v>49</v>
      </c>
      <c r="B42" s="37"/>
      <c r="C42" s="38" t="s">
        <v>50</v>
      </c>
      <c r="D42" s="39"/>
      <c r="E42" s="39"/>
      <c r="F42" s="39"/>
      <c r="G42" s="35"/>
      <c r="H42" s="36"/>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3" t="s">
        <v>51</v>
      </c>
      <c r="B43" s="32"/>
      <c r="C43" s="34"/>
      <c r="D43" s="34"/>
      <c r="E43" s="34"/>
      <c r="F43" s="33"/>
      <c r="G43" s="35"/>
      <c r="H43" s="36"/>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9" t="s">
        <v>52</v>
      </c>
      <c r="B44" s="40"/>
      <c r="C44" s="34"/>
      <c r="D44" s="34"/>
      <c r="E44" s="34"/>
      <c r="F44" s="33"/>
      <c r="G44" s="35"/>
      <c r="H44" s="36"/>
      <c r="I44" s="41"/>
      <c r="J44" s="2"/>
      <c r="K44" s="2"/>
      <c r="L44" s="2"/>
      <c r="M44" s="2"/>
      <c r="N44" s="2"/>
      <c r="O44" s="2"/>
      <c r="P44" s="2"/>
      <c r="Q44" s="2"/>
      <c r="R44" s="2"/>
      <c r="S44" s="2"/>
      <c r="T44" s="2"/>
      <c r="U44" s="2"/>
      <c r="V44" s="2"/>
      <c r="W44" s="2"/>
      <c r="X44" s="2"/>
      <c r="Y44" s="2"/>
      <c r="Z44" s="2"/>
      <c r="AA44" s="2"/>
      <c r="AB44" s="2"/>
      <c r="AC44" s="2"/>
      <c r="AD44" s="2"/>
      <c r="AE44" s="2"/>
      <c r="AF44" s="2"/>
      <c r="AG44" s="2"/>
      <c r="AH44" s="2"/>
    </row>
    <row r="45">
      <c r="A45" s="3" t="s">
        <v>53</v>
      </c>
      <c r="B45" s="32"/>
      <c r="C45" s="34"/>
      <c r="D45" s="34"/>
      <c r="E45" s="34"/>
      <c r="F45" s="33"/>
      <c r="G45" s="35"/>
      <c r="H45" s="36"/>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c r="A46" s="3" t="s">
        <v>54</v>
      </c>
      <c r="B46" s="32"/>
      <c r="C46" s="34"/>
      <c r="D46" s="34"/>
      <c r="E46" s="34"/>
      <c r="F46" s="33"/>
      <c r="G46" s="35"/>
      <c r="H46" s="36"/>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3" t="s">
        <v>55</v>
      </c>
      <c r="B47" s="32"/>
      <c r="C47" s="32"/>
      <c r="D47" s="32"/>
      <c r="E47" s="32"/>
      <c r="F47" s="32"/>
      <c r="G47" s="35"/>
      <c r="H47" s="36"/>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3" t="s">
        <v>56</v>
      </c>
      <c r="B48" s="36"/>
      <c r="C48" s="35"/>
      <c r="D48" s="35"/>
      <c r="E48" s="35"/>
      <c r="F48" s="35"/>
      <c r="G48" s="35"/>
      <c r="H48" s="36"/>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3" t="s">
        <v>57</v>
      </c>
      <c r="B49" s="36"/>
      <c r="C49" s="35"/>
      <c r="D49" s="35"/>
      <c r="E49" s="35"/>
      <c r="F49" s="35"/>
      <c r="G49" s="35"/>
      <c r="H49" s="36"/>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3" t="s">
        <v>58</v>
      </c>
      <c r="B50" s="36"/>
      <c r="C50" s="35"/>
      <c r="D50" s="35"/>
      <c r="E50" s="35"/>
      <c r="F50" s="35"/>
      <c r="G50" s="35"/>
      <c r="H50" s="36"/>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3" t="s">
        <v>59</v>
      </c>
      <c r="B51" s="36"/>
      <c r="C51" s="35"/>
      <c r="D51" s="35"/>
      <c r="E51" s="35"/>
      <c r="F51" s="35"/>
      <c r="G51" s="35"/>
      <c r="H51" s="36"/>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3" t="s">
        <v>60</v>
      </c>
      <c r="B52" s="36"/>
      <c r="C52" s="35"/>
      <c r="D52" s="35"/>
      <c r="E52" s="35"/>
      <c r="F52" s="35"/>
      <c r="G52" s="35"/>
      <c r="H52" s="36"/>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ht="24.75" customHeight="1">
      <c r="A53" s="42" t="s">
        <v>61</v>
      </c>
      <c r="B53" s="32"/>
      <c r="C53" s="34"/>
      <c r="D53" s="34"/>
      <c r="E53" s="34"/>
      <c r="F53" s="34"/>
      <c r="G53" s="34"/>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c r="A54" s="41"/>
      <c r="B54" s="43"/>
      <c r="C54" s="44"/>
      <c r="D54" s="44"/>
      <c r="E54" s="44"/>
      <c r="F54" s="44"/>
      <c r="G54" s="44"/>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45" t="s">
        <v>62</v>
      </c>
      <c r="B55" s="2"/>
      <c r="C55" s="46" t="s">
        <v>63</v>
      </c>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B56" s="47"/>
      <c r="G56" s="47"/>
      <c r="H56" s="47"/>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A57" s="29" t="s">
        <v>64</v>
      </c>
      <c r="B57" s="32"/>
      <c r="H57" s="47"/>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29" t="s">
        <v>65</v>
      </c>
      <c r="B58" s="32"/>
      <c r="C58" s="48" t="s">
        <v>66</v>
      </c>
      <c r="D58" s="49"/>
      <c r="H58" s="47"/>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29" t="s">
        <v>67</v>
      </c>
      <c r="B59" s="40"/>
      <c r="C59" s="50"/>
      <c r="D59" s="47"/>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29" t="s">
        <v>68</v>
      </c>
      <c r="B60" s="32"/>
      <c r="C60" s="51" t="s">
        <v>69</v>
      </c>
      <c r="D60" s="47" t="s">
        <v>70</v>
      </c>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29" t="s">
        <v>71</v>
      </c>
      <c r="B61" s="32"/>
      <c r="C61" s="14" t="s">
        <v>72</v>
      </c>
      <c r="D61" s="16"/>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29" t="s">
        <v>73</v>
      </c>
      <c r="B62" s="32"/>
      <c r="C62" s="9" t="s">
        <v>74</v>
      </c>
      <c r="D62" s="16"/>
      <c r="E62" s="16"/>
      <c r="F62" s="16"/>
      <c r="G62" s="16"/>
      <c r="H62" s="16"/>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29" t="s">
        <v>75</v>
      </c>
      <c r="B63" s="40"/>
      <c r="C63" s="16"/>
      <c r="D63" s="16"/>
      <c r="E63" s="16"/>
      <c r="F63" s="16"/>
      <c r="G63" s="16"/>
      <c r="H63" s="16"/>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29" t="s">
        <v>76</v>
      </c>
      <c r="B64" s="32"/>
      <c r="C64" s="52" t="s">
        <v>77</v>
      </c>
      <c r="D64" s="52"/>
      <c r="E64" s="52"/>
      <c r="F64" s="52"/>
      <c r="G64" s="52"/>
      <c r="H64" s="5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29" t="s">
        <v>78</v>
      </c>
      <c r="B65" s="40"/>
      <c r="C65" s="9" t="s">
        <v>79</v>
      </c>
      <c r="D65" s="16"/>
      <c r="E65" s="16"/>
      <c r="F65" s="16"/>
      <c r="G65" s="16"/>
      <c r="H65" s="16"/>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29" t="s">
        <v>80</v>
      </c>
      <c r="B66" s="40"/>
      <c r="C66" s="9" t="s">
        <v>81</v>
      </c>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29" t="s">
        <v>82</v>
      </c>
      <c r="B67" s="40"/>
      <c r="C67" s="16"/>
      <c r="D67" s="16"/>
      <c r="E67" s="16"/>
      <c r="F67" s="16"/>
      <c r="G67" s="16"/>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29" t="s">
        <v>83</v>
      </c>
      <c r="B68" s="40"/>
      <c r="C68" s="16"/>
      <c r="D68" s="16"/>
      <c r="E68" s="16"/>
      <c r="F68" s="16"/>
      <c r="G68" s="1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29" t="s">
        <v>84</v>
      </c>
      <c r="B69" s="40"/>
      <c r="C69" s="16"/>
      <c r="D69" s="16"/>
      <c r="E69" s="16"/>
      <c r="F69" s="16"/>
      <c r="G69" s="1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29" t="s">
        <v>85</v>
      </c>
      <c r="B70" s="32"/>
      <c r="C70" s="16"/>
      <c r="D70" s="16"/>
      <c r="E70" s="16"/>
      <c r="F70" s="16"/>
      <c r="G70" s="1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29" t="s">
        <v>86</v>
      </c>
      <c r="B71" s="32"/>
      <c r="C71" s="53" t="str">
        <f>HYPERLINK("https://drive.google.com/open?id=1xyuq2jTwTSscB-k2Mb8Zjk3OyTwbxroR","Processional Layout")</f>
        <v>Processional Layout</v>
      </c>
      <c r="D71" s="16"/>
      <c r="E71" s="16"/>
      <c r="F71" s="16"/>
      <c r="G71" s="1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29"/>
      <c r="B72" s="54"/>
      <c r="C72" s="16"/>
      <c r="D72" s="16"/>
      <c r="E72" s="16"/>
      <c r="F72" s="16"/>
      <c r="G72" s="1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45" t="s">
        <v>87</v>
      </c>
      <c r="B73" s="2"/>
      <c r="C73" s="16"/>
      <c r="D73" s="16"/>
      <c r="E73" s="16"/>
      <c r="F73" s="16"/>
      <c r="G73" s="1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29" t="s">
        <v>88</v>
      </c>
      <c r="B74" s="32"/>
      <c r="C74" s="14"/>
      <c r="D74" s="14"/>
      <c r="E74" s="14"/>
      <c r="F74" s="14"/>
      <c r="G74" s="14"/>
      <c r="H74" s="14"/>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29" t="s">
        <v>89</v>
      </c>
      <c r="B75" s="32"/>
      <c r="C75" s="14" t="s">
        <v>90</v>
      </c>
      <c r="D75" s="14"/>
      <c r="E75" s="14"/>
      <c r="F75" s="14"/>
      <c r="G75" s="14"/>
      <c r="H75" s="14"/>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29" t="s">
        <v>91</v>
      </c>
      <c r="B76" s="40"/>
      <c r="C76" s="14"/>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29" t="s">
        <v>92</v>
      </c>
      <c r="B77" s="32"/>
      <c r="C77" s="55"/>
      <c r="D77" s="55"/>
      <c r="E77" s="55"/>
      <c r="F77" s="55"/>
      <c r="G77" s="55"/>
      <c r="H77" s="55"/>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29" t="s">
        <v>93</v>
      </c>
      <c r="B78" s="32"/>
      <c r="C78" s="56" t="s">
        <v>94</v>
      </c>
      <c r="D78" s="55"/>
      <c r="E78" s="55"/>
      <c r="F78" s="55"/>
      <c r="G78" s="55"/>
      <c r="H78" s="55"/>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29" t="s">
        <v>95</v>
      </c>
      <c r="B79" s="32"/>
      <c r="C79" s="57" t="str">
        <f>HYPERLINK("https://drive.google.com/file/d/1Vl_AMdB4M136risxnh30qPwkZ3gPXFZj/view?usp=sharing","Cake Gazebo Picture")</f>
        <v>Cake Gazebo Picture</v>
      </c>
      <c r="D79" s="55"/>
      <c r="E79" s="55"/>
      <c r="F79" s="55"/>
      <c r="G79" s="55"/>
      <c r="H79" s="55"/>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29" t="s">
        <v>96</v>
      </c>
      <c r="B80" s="32"/>
      <c r="C80" s="55"/>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29" t="s">
        <v>97</v>
      </c>
      <c r="B81" s="40"/>
      <c r="C81" s="55" t="s">
        <v>98</v>
      </c>
      <c r="D81" s="56" t="s">
        <v>99</v>
      </c>
      <c r="E81" s="56" t="s">
        <v>100</v>
      </c>
      <c r="F81" s="55"/>
      <c r="G81" s="55"/>
      <c r="H81" s="55"/>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29" t="s">
        <v>101</v>
      </c>
      <c r="B82" s="40"/>
      <c r="C82" s="55"/>
      <c r="D82" s="55"/>
      <c r="E82" s="55"/>
      <c r="F82" s="55"/>
      <c r="G82" s="55"/>
      <c r="H82" s="55"/>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29" t="s">
        <v>102</v>
      </c>
      <c r="B83" s="40"/>
      <c r="C83" s="58"/>
      <c r="D83" s="47"/>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29" t="s">
        <v>103</v>
      </c>
      <c r="B84" s="32"/>
      <c r="C84" s="47" t="s">
        <v>104</v>
      </c>
      <c r="E84" s="47"/>
      <c r="F84" s="47"/>
      <c r="G84" s="47"/>
      <c r="H84" s="47"/>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29" t="s">
        <v>105</v>
      </c>
      <c r="B85" s="32"/>
      <c r="C85" s="59" t="s">
        <v>106</v>
      </c>
      <c r="D85" s="47"/>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29" t="s">
        <v>107</v>
      </c>
      <c r="B86" s="40"/>
      <c r="C86" s="59" t="s">
        <v>108</v>
      </c>
      <c r="D86" s="47"/>
      <c r="E86" s="47"/>
      <c r="F86" s="47"/>
      <c r="G86" s="47"/>
      <c r="H86" s="47"/>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29" t="s">
        <v>109</v>
      </c>
      <c r="B87" s="40"/>
      <c r="C87" s="14"/>
      <c r="D87" s="14"/>
      <c r="E87" s="14"/>
      <c r="F87" s="14"/>
      <c r="G87" s="14"/>
      <c r="H87" s="14"/>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29" t="s">
        <v>110</v>
      </c>
      <c r="B88" s="32"/>
      <c r="C88" s="14"/>
      <c r="D88" s="14"/>
      <c r="E88" s="14"/>
      <c r="F88" s="14"/>
      <c r="G88" s="14"/>
      <c r="H88" s="14"/>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29" t="s">
        <v>111</v>
      </c>
      <c r="B89" s="32"/>
      <c r="C89" s="14" t="s">
        <v>112</v>
      </c>
      <c r="D89" s="14"/>
      <c r="E89" s="14"/>
      <c r="F89" s="14"/>
      <c r="G89" s="14"/>
      <c r="H89" s="14"/>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29" t="s">
        <v>113</v>
      </c>
      <c r="B90" s="32"/>
      <c r="C90" s="14"/>
      <c r="D90" s="14"/>
      <c r="E90" s="14"/>
      <c r="F90" s="14"/>
      <c r="G90" s="14"/>
      <c r="H90" s="14"/>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29" t="s">
        <v>114</v>
      </c>
      <c r="B91" s="40"/>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29" t="s">
        <v>115</v>
      </c>
      <c r="B92" s="40"/>
      <c r="C92" s="60" t="str">
        <f>HYPERLINK("https://drive.google.com/file/d/1aYw_W_FF9EEK4LxPzgXvBZ0lR0YQkDkl/view?usp=sharing","""Aubrey Style"" set up")</f>
        <v>"Aubrey Style" set up</v>
      </c>
      <c r="D92" s="60" t="str">
        <f>HYPERLINK("https://drive.google.com/file/d/1hEU-eBvAaWUpL-e1ScG-Z-qPVuwE9Mkx/view?usp=sharing","Round Tables Outside set up")</f>
        <v>Round Tables Outside set up</v>
      </c>
      <c r="E92" s="61"/>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29" t="s">
        <v>116</v>
      </c>
      <c r="B93" s="32"/>
      <c r="C93" s="60" t="str">
        <f>HYPERLINK("https://www.facebook.com/silversycamore/photos/a.10155354739873810/10158105440518810/?type=3&amp;theater","Saloon Round Set Up")</f>
        <v>Saloon Round Set Up</v>
      </c>
      <c r="D93" s="60" t="str">
        <f>HYPERLINK("https://www.facebook.com/silversycamore/photos/a.10155354739873810/10156903772078810/?type=3&amp;theater","Saloon Banquet Set Up ")</f>
        <v>Saloon Banquet Set Up </v>
      </c>
      <c r="E93" s="61"/>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29" t="s">
        <v>117</v>
      </c>
      <c r="B94" s="40"/>
      <c r="C94" s="62"/>
      <c r="D94" s="47"/>
      <c r="E94" s="47"/>
      <c r="F94" s="47"/>
      <c r="G94" s="47"/>
      <c r="H94" s="47"/>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29" t="s">
        <v>118</v>
      </c>
      <c r="B95" s="40"/>
      <c r="C95" s="62"/>
      <c r="D95" s="47"/>
      <c r="E95" s="47"/>
      <c r="F95" s="47"/>
      <c r="G95" s="47"/>
      <c r="H95" s="47"/>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2"/>
      <c r="B96" s="2"/>
      <c r="C96" s="16"/>
      <c r="D96" s="16"/>
      <c r="E96" s="16"/>
      <c r="F96" s="16"/>
      <c r="G96" s="1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2"/>
      <c r="B97" s="2"/>
      <c r="C97" s="16"/>
      <c r="D97" s="16"/>
      <c r="E97" s="16"/>
      <c r="F97" s="16"/>
      <c r="G97" s="1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2"/>
      <c r="B98" s="2"/>
      <c r="C98" s="16"/>
      <c r="D98" s="16"/>
      <c r="E98" s="16"/>
      <c r="F98" s="16"/>
      <c r="G98" s="1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45" t="s">
        <v>119</v>
      </c>
      <c r="B99" s="2"/>
      <c r="C99" s="16"/>
      <c r="D99" s="16"/>
      <c r="E99" s="16"/>
      <c r="F99" s="16"/>
      <c r="G99" s="1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29" t="s">
        <v>120</v>
      </c>
      <c r="B100" s="32"/>
      <c r="C100" s="9" t="s">
        <v>121</v>
      </c>
      <c r="D100" s="16"/>
      <c r="E100" s="16"/>
      <c r="F100" s="16"/>
      <c r="G100" s="1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29" t="s">
        <v>122</v>
      </c>
      <c r="B101" s="40"/>
      <c r="C101" s="16"/>
      <c r="D101" s="16"/>
      <c r="E101" s="16"/>
      <c r="F101" s="16"/>
      <c r="G101" s="1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29" t="s">
        <v>123</v>
      </c>
      <c r="B102" s="40"/>
      <c r="C102" s="9"/>
      <c r="D102" s="16"/>
      <c r="E102" s="16"/>
      <c r="F102" s="16"/>
      <c r="G102" s="1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29" t="s">
        <v>124</v>
      </c>
      <c r="B103" s="32"/>
      <c r="C103" s="9" t="s">
        <v>125</v>
      </c>
      <c r="D103" s="16"/>
      <c r="E103" s="16"/>
      <c r="F103" s="16"/>
      <c r="G103" s="1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29" t="s">
        <v>126</v>
      </c>
      <c r="B104" s="32"/>
      <c r="C104" s="9" t="s">
        <v>127</v>
      </c>
      <c r="D104" s="16"/>
      <c r="E104" s="16"/>
      <c r="F104" s="16"/>
      <c r="G104" s="1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2"/>
      <c r="B105" s="2"/>
      <c r="C105" s="16"/>
      <c r="D105" s="16"/>
      <c r="E105" s="16"/>
      <c r="F105" s="16"/>
      <c r="G105" s="1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2"/>
      <c r="B106" s="2"/>
      <c r="C106" s="16"/>
      <c r="D106" s="16"/>
      <c r="E106" s="16"/>
      <c r="F106" s="16"/>
      <c r="G106" s="1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45" t="s">
        <v>128</v>
      </c>
      <c r="B107" s="2"/>
      <c r="C107" s="16"/>
      <c r="D107" s="16"/>
      <c r="E107" s="16"/>
      <c r="F107" s="16"/>
      <c r="G107" s="1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29" t="s">
        <v>129</v>
      </c>
      <c r="B108" s="40"/>
      <c r="C108" s="16"/>
      <c r="D108" s="16"/>
      <c r="E108" s="16"/>
      <c r="F108" s="16"/>
      <c r="G108" s="1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29" t="s">
        <v>130</v>
      </c>
      <c r="B109" s="40"/>
      <c r="C109" s="16"/>
      <c r="D109" s="16"/>
      <c r="E109" s="16"/>
      <c r="F109" s="16"/>
      <c r="G109" s="1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29" t="s">
        <v>131</v>
      </c>
      <c r="B110" s="40"/>
      <c r="C110" s="16"/>
      <c r="D110" s="16"/>
      <c r="E110" s="16"/>
      <c r="F110" s="16"/>
      <c r="G110" s="1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29" t="s">
        <v>132</v>
      </c>
      <c r="B111" s="40"/>
      <c r="C111" s="16"/>
      <c r="D111" s="16"/>
      <c r="E111" s="16"/>
      <c r="F111" s="16"/>
      <c r="G111" s="1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29"/>
      <c r="B112" s="43"/>
      <c r="C112" s="16"/>
      <c r="D112" s="16"/>
      <c r="E112" s="16"/>
      <c r="F112" s="16"/>
      <c r="G112" s="1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45" t="s">
        <v>133</v>
      </c>
      <c r="B113" s="2"/>
      <c r="C113" s="16"/>
      <c r="D113" s="16"/>
      <c r="E113" s="16"/>
      <c r="F113" s="16"/>
      <c r="G113" s="1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29" t="s">
        <v>134</v>
      </c>
      <c r="B114" s="32"/>
      <c r="C114" s="63"/>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29" t="s">
        <v>135</v>
      </c>
      <c r="B115" s="40"/>
      <c r="C115" s="23" t="s">
        <v>136</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29" t="s">
        <v>137</v>
      </c>
      <c r="B116" s="40"/>
      <c r="C116" s="9" t="s">
        <v>138</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29" t="s">
        <v>139</v>
      </c>
      <c r="B117" s="40"/>
      <c r="C117" s="16"/>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29" t="s">
        <v>140</v>
      </c>
      <c r="B118" s="40"/>
      <c r="C118" s="1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29" t="s">
        <v>141</v>
      </c>
      <c r="B119" s="40"/>
      <c r="C119" s="64"/>
      <c r="D119" s="1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29" t="s">
        <v>142</v>
      </c>
      <c r="B120" s="40"/>
      <c r="C120" s="16"/>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29" t="s">
        <v>143</v>
      </c>
      <c r="B121" s="40"/>
      <c r="C121" s="9" t="s">
        <v>144</v>
      </c>
      <c r="D121" s="16"/>
      <c r="E121" s="16"/>
      <c r="F121" s="16"/>
      <c r="G121" s="16"/>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2"/>
      <c r="B122" s="2"/>
      <c r="C122" s="16"/>
      <c r="D122" s="16"/>
      <c r="E122" s="16"/>
      <c r="F122" s="16"/>
      <c r="G122" s="16"/>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2"/>
      <c r="B123" s="2"/>
      <c r="C123" s="16"/>
      <c r="D123" s="16"/>
      <c r="E123" s="16"/>
      <c r="F123" s="16"/>
      <c r="G123" s="16"/>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65"/>
      <c r="B124" s="2"/>
      <c r="C124" s="16"/>
      <c r="D124" s="16"/>
      <c r="E124" s="16"/>
      <c r="F124" s="16"/>
      <c r="G124" s="1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66" t="s">
        <v>145</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67"/>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A132" s="2"/>
      <c r="B132" s="2"/>
      <c r="C132" s="16"/>
      <c r="D132" s="16"/>
      <c r="E132" s="16"/>
      <c r="F132" s="16"/>
      <c r="G132" s="16"/>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A133" s="2"/>
      <c r="B133" s="2"/>
      <c r="C133" s="16"/>
      <c r="D133" s="16"/>
      <c r="E133" s="16"/>
      <c r="F133" s="16"/>
      <c r="G133" s="16"/>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A134" s="68" t="s">
        <v>146</v>
      </c>
      <c r="B134" s="69" t="s">
        <v>147</v>
      </c>
      <c r="C134" s="70"/>
      <c r="D134" s="70"/>
      <c r="E134" s="70"/>
      <c r="F134" s="70"/>
      <c r="G134" s="70"/>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row>
    <row r="135">
      <c r="A135" s="71"/>
      <c r="B135" s="69" t="s">
        <v>148</v>
      </c>
      <c r="C135" s="70"/>
      <c r="D135" s="70"/>
      <c r="E135" s="70"/>
      <c r="F135" s="70"/>
      <c r="G135" s="70"/>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row>
    <row r="136">
      <c r="A136" s="71"/>
      <c r="B136" s="72" t="s">
        <v>149</v>
      </c>
      <c r="C136" s="70"/>
      <c r="D136" s="70"/>
      <c r="E136" s="70"/>
      <c r="F136" s="70"/>
      <c r="G136" s="70"/>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row>
    <row r="137">
      <c r="A137" s="71"/>
      <c r="B137" s="69"/>
      <c r="C137" s="70"/>
      <c r="D137" s="70"/>
      <c r="E137" s="70"/>
      <c r="F137" s="70"/>
      <c r="G137" s="70"/>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row>
    <row r="138">
      <c r="A138" s="2"/>
      <c r="B138" s="2"/>
      <c r="C138" s="16"/>
      <c r="D138" s="16"/>
      <c r="E138" s="16"/>
      <c r="F138" s="16"/>
      <c r="G138" s="16"/>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c r="A139" s="73" t="s">
        <v>150</v>
      </c>
      <c r="B139" s="74" t="s">
        <v>151</v>
      </c>
      <c r="C139" s="16"/>
      <c r="D139" s="16"/>
      <c r="E139" s="16"/>
      <c r="F139" s="16"/>
      <c r="G139" s="16"/>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c r="A140" s="2"/>
      <c r="B140" s="69" t="s">
        <v>152</v>
      </c>
      <c r="C140" s="16"/>
      <c r="D140" s="16"/>
      <c r="E140" s="16"/>
      <c r="F140" s="16"/>
      <c r="G140" s="16"/>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c r="A141" s="2"/>
      <c r="B141" s="69" t="s">
        <v>153</v>
      </c>
      <c r="C141" s="16"/>
      <c r="D141" s="16"/>
      <c r="E141" s="16"/>
      <c r="F141" s="16"/>
      <c r="G141" s="16"/>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2"/>
      <c r="B142" s="75" t="s">
        <v>154</v>
      </c>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75" t="s">
        <v>155</v>
      </c>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75" t="s">
        <v>156</v>
      </c>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2"/>
      <c r="C145" s="16"/>
      <c r="D145" s="16"/>
      <c r="E145" s="16"/>
      <c r="F145" s="16"/>
      <c r="G145" s="16"/>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2"/>
      <c r="C146" s="16"/>
      <c r="D146" s="16"/>
      <c r="E146" s="16"/>
      <c r="F146" s="16"/>
      <c r="G146" s="16"/>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2"/>
      <c r="C147" s="16"/>
      <c r="D147" s="16"/>
      <c r="E147" s="16"/>
      <c r="F147" s="16"/>
      <c r="G147" s="16"/>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16"/>
      <c r="D148" s="16"/>
      <c r="E148" s="16"/>
      <c r="F148" s="16"/>
      <c r="G148" s="16"/>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6"/>
      <c r="D149" s="16"/>
      <c r="E149" s="16"/>
      <c r="F149" s="16"/>
      <c r="G149" s="1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6"/>
      <c r="D150" s="16"/>
      <c r="E150" s="16"/>
      <c r="F150" s="16"/>
      <c r="G150" s="1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6"/>
      <c r="D151" s="16"/>
      <c r="E151" s="16"/>
      <c r="F151" s="16"/>
      <c r="G151" s="1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6"/>
      <c r="D152" s="16"/>
      <c r="E152" s="16"/>
      <c r="F152" s="16"/>
      <c r="G152" s="1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6"/>
      <c r="D153" s="16"/>
      <c r="E153" s="16"/>
      <c r="F153" s="16"/>
      <c r="G153" s="1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6"/>
      <c r="D154" s="16"/>
      <c r="E154" s="16"/>
      <c r="F154" s="16"/>
      <c r="G154" s="1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6"/>
      <c r="D155" s="16"/>
      <c r="E155" s="16"/>
      <c r="F155" s="16"/>
      <c r="G155" s="1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6"/>
      <c r="D156" s="16"/>
      <c r="E156" s="16"/>
      <c r="F156" s="16"/>
      <c r="G156" s="1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6"/>
      <c r="D157" s="16"/>
      <c r="E157" s="16"/>
      <c r="F157" s="16"/>
      <c r="G157" s="1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6"/>
      <c r="D158" s="16"/>
      <c r="E158" s="16"/>
      <c r="F158" s="16"/>
      <c r="G158" s="1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6"/>
      <c r="D159" s="16"/>
      <c r="E159" s="16"/>
      <c r="F159" s="16"/>
      <c r="G159" s="1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6"/>
      <c r="D160" s="16"/>
      <c r="E160" s="16"/>
      <c r="F160" s="16"/>
      <c r="G160" s="1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6"/>
      <c r="D161" s="16"/>
      <c r="E161" s="16"/>
      <c r="F161" s="16"/>
      <c r="G161" s="1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6"/>
      <c r="D162" s="16"/>
      <c r="E162" s="16"/>
      <c r="F162" s="16"/>
      <c r="G162" s="1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6"/>
      <c r="D163" s="16"/>
      <c r="E163" s="16"/>
      <c r="F163" s="16"/>
      <c r="G163" s="1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6"/>
      <c r="D164" s="16"/>
      <c r="E164" s="16"/>
      <c r="F164" s="16"/>
      <c r="G164" s="1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6"/>
      <c r="D165" s="16"/>
      <c r="E165" s="16"/>
      <c r="F165" s="16"/>
      <c r="G165" s="1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6"/>
      <c r="D166" s="16"/>
      <c r="E166" s="16"/>
      <c r="F166" s="16"/>
      <c r="G166" s="1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6"/>
      <c r="D167" s="16"/>
      <c r="E167" s="16"/>
      <c r="F167" s="16"/>
      <c r="G167" s="1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6"/>
      <c r="D168" s="16"/>
      <c r="E168" s="16"/>
      <c r="F168" s="16"/>
      <c r="G168" s="1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6"/>
      <c r="D169" s="16"/>
      <c r="E169" s="16"/>
      <c r="F169" s="16"/>
      <c r="G169" s="1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6"/>
      <c r="D170" s="16"/>
      <c r="E170" s="16"/>
      <c r="F170" s="16"/>
      <c r="G170" s="1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6"/>
      <c r="D171" s="16"/>
      <c r="E171" s="16"/>
      <c r="F171" s="16"/>
      <c r="G171" s="1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6"/>
      <c r="D172" s="16"/>
      <c r="E172" s="16"/>
      <c r="F172" s="16"/>
      <c r="G172" s="1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6"/>
      <c r="D173" s="16"/>
      <c r="E173" s="16"/>
      <c r="F173" s="16"/>
      <c r="G173" s="1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6"/>
      <c r="D174" s="16"/>
      <c r="E174" s="16"/>
      <c r="F174" s="16"/>
      <c r="G174" s="1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6"/>
      <c r="D175" s="16"/>
      <c r="E175" s="16"/>
      <c r="F175" s="16"/>
      <c r="G175" s="1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6"/>
      <c r="D176" s="16"/>
      <c r="E176" s="16"/>
      <c r="F176" s="16"/>
      <c r="G176" s="1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6"/>
      <c r="D177" s="16"/>
      <c r="E177" s="16"/>
      <c r="F177" s="16"/>
      <c r="G177" s="1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6"/>
      <c r="D178" s="16"/>
      <c r="E178" s="16"/>
      <c r="F178" s="16"/>
      <c r="G178" s="1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6"/>
      <c r="D179" s="16"/>
      <c r="E179" s="16"/>
      <c r="F179" s="16"/>
      <c r="G179" s="1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6"/>
      <c r="D180" s="16"/>
      <c r="E180" s="16"/>
      <c r="F180" s="16"/>
      <c r="G180" s="1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6"/>
      <c r="D181" s="16"/>
      <c r="E181" s="16"/>
      <c r="F181" s="16"/>
      <c r="G181" s="1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6"/>
      <c r="D182" s="16"/>
      <c r="E182" s="16"/>
      <c r="F182" s="16"/>
      <c r="G182" s="1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6"/>
      <c r="D183" s="16"/>
      <c r="E183" s="16"/>
      <c r="F183" s="16"/>
      <c r="G183" s="1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6"/>
      <c r="D184" s="16"/>
      <c r="E184" s="16"/>
      <c r="F184" s="16"/>
      <c r="G184" s="1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6"/>
      <c r="D185" s="16"/>
      <c r="E185" s="16"/>
      <c r="F185" s="16"/>
      <c r="G185" s="1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6"/>
      <c r="D186" s="16"/>
      <c r="E186" s="16"/>
      <c r="F186" s="16"/>
      <c r="G186" s="1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6"/>
      <c r="D187" s="16"/>
      <c r="E187" s="16"/>
      <c r="F187" s="16"/>
      <c r="G187" s="1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6"/>
      <c r="D188" s="16"/>
      <c r="E188" s="16"/>
      <c r="F188" s="16"/>
      <c r="G188" s="1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6"/>
      <c r="D189" s="16"/>
      <c r="E189" s="16"/>
      <c r="F189" s="16"/>
      <c r="G189" s="1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6"/>
      <c r="D190" s="16"/>
      <c r="E190" s="16"/>
      <c r="F190" s="16"/>
      <c r="G190" s="1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6"/>
      <c r="D191" s="16"/>
      <c r="E191" s="16"/>
      <c r="F191" s="16"/>
      <c r="G191" s="1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6"/>
      <c r="D192" s="16"/>
      <c r="E192" s="16"/>
      <c r="F192" s="16"/>
      <c r="G192" s="1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6"/>
      <c r="D193" s="16"/>
      <c r="E193" s="16"/>
      <c r="F193" s="16"/>
      <c r="G193" s="1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6"/>
      <c r="D194" s="16"/>
      <c r="E194" s="16"/>
      <c r="F194" s="16"/>
      <c r="G194" s="1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6"/>
      <c r="D195" s="16"/>
      <c r="E195" s="16"/>
      <c r="F195" s="16"/>
      <c r="G195" s="1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6"/>
      <c r="D196" s="16"/>
      <c r="E196" s="16"/>
      <c r="F196" s="16"/>
      <c r="G196" s="1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6"/>
      <c r="D197" s="16"/>
      <c r="E197" s="16"/>
      <c r="F197" s="16"/>
      <c r="G197" s="1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6"/>
      <c r="D198" s="16"/>
      <c r="E198" s="16"/>
      <c r="F198" s="16"/>
      <c r="G198" s="1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6"/>
      <c r="D199" s="16"/>
      <c r="E199" s="16"/>
      <c r="F199" s="16"/>
      <c r="G199" s="1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6"/>
      <c r="D200" s="16"/>
      <c r="E200" s="16"/>
      <c r="F200" s="16"/>
      <c r="G200" s="1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6"/>
      <c r="D201" s="16"/>
      <c r="E201" s="16"/>
      <c r="F201" s="16"/>
      <c r="G201" s="1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6"/>
      <c r="D202" s="16"/>
      <c r="E202" s="16"/>
      <c r="F202" s="16"/>
      <c r="G202" s="1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6"/>
      <c r="D203" s="16"/>
      <c r="E203" s="16"/>
      <c r="F203" s="16"/>
      <c r="G203" s="1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6"/>
      <c r="D204" s="16"/>
      <c r="E204" s="16"/>
      <c r="F204" s="16"/>
      <c r="G204" s="1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6"/>
      <c r="D205" s="16"/>
      <c r="E205" s="16"/>
      <c r="F205" s="16"/>
      <c r="G205" s="1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6"/>
      <c r="D206" s="16"/>
      <c r="E206" s="16"/>
      <c r="F206" s="16"/>
      <c r="G206" s="1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6"/>
      <c r="D207" s="16"/>
      <c r="E207" s="16"/>
      <c r="F207" s="16"/>
      <c r="G207" s="1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6"/>
      <c r="D208" s="16"/>
      <c r="E208" s="16"/>
      <c r="F208" s="16"/>
      <c r="G208" s="1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6"/>
      <c r="D209" s="16"/>
      <c r="E209" s="16"/>
      <c r="F209" s="16"/>
      <c r="G209" s="1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6"/>
      <c r="D210" s="16"/>
      <c r="E210" s="16"/>
      <c r="F210" s="16"/>
      <c r="G210" s="1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6"/>
      <c r="D211" s="16"/>
      <c r="E211" s="16"/>
      <c r="F211" s="16"/>
      <c r="G211" s="1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6"/>
      <c r="D212" s="16"/>
      <c r="E212" s="16"/>
      <c r="F212" s="16"/>
      <c r="G212" s="1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6"/>
      <c r="D213" s="16"/>
      <c r="E213" s="16"/>
      <c r="F213" s="16"/>
      <c r="G213" s="1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6"/>
      <c r="D214" s="16"/>
      <c r="E214" s="16"/>
      <c r="F214" s="16"/>
      <c r="G214" s="1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6"/>
      <c r="D215" s="16"/>
      <c r="E215" s="16"/>
      <c r="F215" s="16"/>
      <c r="G215" s="1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6"/>
      <c r="D216" s="16"/>
      <c r="E216" s="16"/>
      <c r="F216" s="16"/>
      <c r="G216" s="1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6"/>
      <c r="D217" s="16"/>
      <c r="E217" s="16"/>
      <c r="F217" s="16"/>
      <c r="G217" s="1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6"/>
      <c r="D218" s="16"/>
      <c r="E218" s="16"/>
      <c r="F218" s="16"/>
      <c r="G218" s="1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6"/>
      <c r="D219" s="16"/>
      <c r="E219" s="16"/>
      <c r="F219" s="16"/>
      <c r="G219" s="1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6"/>
      <c r="D220" s="16"/>
      <c r="E220" s="16"/>
      <c r="F220" s="16"/>
      <c r="G220" s="1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6"/>
      <c r="D221" s="16"/>
      <c r="E221" s="16"/>
      <c r="F221" s="16"/>
      <c r="G221" s="1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6"/>
      <c r="D222" s="16"/>
      <c r="E222" s="16"/>
      <c r="F222" s="16"/>
      <c r="G222" s="1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6"/>
      <c r="D223" s="16"/>
      <c r="E223" s="16"/>
      <c r="F223" s="16"/>
      <c r="G223" s="1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6"/>
      <c r="D224" s="16"/>
      <c r="E224" s="16"/>
      <c r="F224" s="16"/>
      <c r="G224" s="1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6"/>
      <c r="D225" s="16"/>
      <c r="E225" s="16"/>
      <c r="F225" s="16"/>
      <c r="G225" s="1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6"/>
      <c r="D226" s="16"/>
      <c r="E226" s="16"/>
      <c r="F226" s="16"/>
      <c r="G226" s="1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6"/>
      <c r="D227" s="16"/>
      <c r="E227" s="16"/>
      <c r="F227" s="16"/>
      <c r="G227" s="1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6"/>
      <c r="D228" s="16"/>
      <c r="E228" s="16"/>
      <c r="F228" s="16"/>
      <c r="G228" s="1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6"/>
      <c r="D229" s="16"/>
      <c r="E229" s="16"/>
      <c r="F229" s="16"/>
      <c r="G229" s="1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6"/>
      <c r="D230" s="16"/>
      <c r="E230" s="16"/>
      <c r="F230" s="16"/>
      <c r="G230" s="1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6"/>
      <c r="D231" s="16"/>
      <c r="E231" s="16"/>
      <c r="F231" s="16"/>
      <c r="G231" s="1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6"/>
      <c r="D232" s="16"/>
      <c r="E232" s="16"/>
      <c r="F232" s="16"/>
      <c r="G232" s="1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6"/>
      <c r="D233" s="16"/>
      <c r="E233" s="16"/>
      <c r="F233" s="16"/>
      <c r="G233" s="1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6"/>
      <c r="D234" s="16"/>
      <c r="E234" s="16"/>
      <c r="F234" s="16"/>
      <c r="G234" s="1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6"/>
      <c r="D235" s="16"/>
      <c r="E235" s="16"/>
      <c r="F235" s="16"/>
      <c r="G235" s="1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6"/>
      <c r="D236" s="16"/>
      <c r="E236" s="16"/>
      <c r="F236" s="16"/>
      <c r="G236" s="1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6"/>
      <c r="D237" s="16"/>
      <c r="E237" s="16"/>
      <c r="F237" s="16"/>
      <c r="G237" s="1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6"/>
      <c r="D238" s="16"/>
      <c r="E238" s="16"/>
      <c r="F238" s="16"/>
      <c r="G238" s="1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6"/>
      <c r="D239" s="16"/>
      <c r="E239" s="16"/>
      <c r="F239" s="16"/>
      <c r="G239" s="1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6"/>
      <c r="D240" s="16"/>
      <c r="E240" s="16"/>
      <c r="F240" s="16"/>
      <c r="G240" s="1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6"/>
      <c r="D241" s="16"/>
      <c r="E241" s="16"/>
      <c r="F241" s="16"/>
      <c r="G241" s="1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6"/>
      <c r="D242" s="16"/>
      <c r="E242" s="16"/>
      <c r="F242" s="16"/>
      <c r="G242" s="1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6"/>
      <c r="D243" s="16"/>
      <c r="E243" s="16"/>
      <c r="F243" s="16"/>
      <c r="G243" s="1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6"/>
      <c r="D244" s="16"/>
      <c r="E244" s="16"/>
      <c r="F244" s="16"/>
      <c r="G244" s="1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6"/>
      <c r="D245" s="16"/>
      <c r="E245" s="16"/>
      <c r="F245" s="16"/>
      <c r="G245" s="1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6"/>
      <c r="D246" s="16"/>
      <c r="E246" s="16"/>
      <c r="F246" s="16"/>
      <c r="G246" s="1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6"/>
      <c r="D247" s="16"/>
      <c r="E247" s="16"/>
      <c r="F247" s="16"/>
      <c r="G247" s="1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6"/>
      <c r="D248" s="16"/>
      <c r="E248" s="16"/>
      <c r="F248" s="16"/>
      <c r="G248" s="1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6"/>
      <c r="D249" s="16"/>
      <c r="E249" s="16"/>
      <c r="F249" s="16"/>
      <c r="G249" s="1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6"/>
      <c r="D250" s="16"/>
      <c r="E250" s="16"/>
      <c r="F250" s="16"/>
      <c r="G250" s="1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6"/>
      <c r="D251" s="16"/>
      <c r="E251" s="16"/>
      <c r="F251" s="16"/>
      <c r="G251" s="1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6"/>
      <c r="D252" s="16"/>
      <c r="E252" s="16"/>
      <c r="F252" s="16"/>
      <c r="G252" s="1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6"/>
      <c r="D253" s="16"/>
      <c r="E253" s="16"/>
      <c r="F253" s="16"/>
      <c r="G253" s="1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6"/>
      <c r="D254" s="16"/>
      <c r="E254" s="16"/>
      <c r="F254" s="16"/>
      <c r="G254" s="1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6"/>
      <c r="D255" s="16"/>
      <c r="E255" s="16"/>
      <c r="F255" s="16"/>
      <c r="G255" s="1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6"/>
      <c r="D256" s="16"/>
      <c r="E256" s="16"/>
      <c r="F256" s="16"/>
      <c r="G256" s="1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6"/>
      <c r="D257" s="16"/>
      <c r="E257" s="16"/>
      <c r="F257" s="16"/>
      <c r="G257" s="1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6"/>
      <c r="D258" s="16"/>
      <c r="E258" s="16"/>
      <c r="F258" s="16"/>
      <c r="G258" s="1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6"/>
      <c r="D259" s="16"/>
      <c r="E259" s="16"/>
      <c r="F259" s="16"/>
      <c r="G259" s="1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6"/>
      <c r="D260" s="16"/>
      <c r="E260" s="16"/>
      <c r="F260" s="16"/>
      <c r="G260" s="1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6"/>
      <c r="D261" s="16"/>
      <c r="E261" s="16"/>
      <c r="F261" s="16"/>
      <c r="G261" s="1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6"/>
      <c r="D262" s="16"/>
      <c r="E262" s="16"/>
      <c r="F262" s="16"/>
      <c r="G262" s="1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6"/>
      <c r="D263" s="16"/>
      <c r="E263" s="16"/>
      <c r="F263" s="16"/>
      <c r="G263" s="1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6"/>
      <c r="D264" s="16"/>
      <c r="E264" s="16"/>
      <c r="F264" s="16"/>
      <c r="G264" s="1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6"/>
      <c r="D265" s="16"/>
      <c r="E265" s="16"/>
      <c r="F265" s="16"/>
      <c r="G265" s="1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6"/>
      <c r="D266" s="16"/>
      <c r="E266" s="16"/>
      <c r="F266" s="16"/>
      <c r="G266" s="1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6"/>
      <c r="D267" s="16"/>
      <c r="E267" s="16"/>
      <c r="F267" s="16"/>
      <c r="G267" s="1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6"/>
      <c r="D268" s="16"/>
      <c r="E268" s="16"/>
      <c r="F268" s="16"/>
      <c r="G268" s="1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6"/>
      <c r="D269" s="16"/>
      <c r="E269" s="16"/>
      <c r="F269" s="16"/>
      <c r="G269" s="1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6"/>
      <c r="D270" s="16"/>
      <c r="E270" s="16"/>
      <c r="F270" s="16"/>
      <c r="G270" s="1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6"/>
      <c r="D271" s="16"/>
      <c r="E271" s="16"/>
      <c r="F271" s="16"/>
      <c r="G271" s="1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6"/>
      <c r="D272" s="16"/>
      <c r="E272" s="16"/>
      <c r="F272" s="16"/>
      <c r="G272" s="1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6"/>
      <c r="D273" s="16"/>
      <c r="E273" s="16"/>
      <c r="F273" s="16"/>
      <c r="G273" s="1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6"/>
      <c r="D274" s="16"/>
      <c r="E274" s="16"/>
      <c r="F274" s="16"/>
      <c r="G274" s="1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6"/>
      <c r="D275" s="16"/>
      <c r="E275" s="16"/>
      <c r="F275" s="16"/>
      <c r="G275" s="1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6"/>
      <c r="D276" s="16"/>
      <c r="E276" s="16"/>
      <c r="F276" s="16"/>
      <c r="G276" s="1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6"/>
      <c r="D277" s="16"/>
      <c r="E277" s="16"/>
      <c r="F277" s="16"/>
      <c r="G277" s="1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6"/>
      <c r="D278" s="16"/>
      <c r="E278" s="16"/>
      <c r="F278" s="16"/>
      <c r="G278" s="1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6"/>
      <c r="D279" s="16"/>
      <c r="E279" s="16"/>
      <c r="F279" s="16"/>
      <c r="G279" s="1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6"/>
      <c r="D280" s="16"/>
      <c r="E280" s="16"/>
      <c r="F280" s="16"/>
      <c r="G280" s="1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6"/>
      <c r="D281" s="16"/>
      <c r="E281" s="16"/>
      <c r="F281" s="16"/>
      <c r="G281" s="1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6"/>
      <c r="D282" s="16"/>
      <c r="E282" s="16"/>
      <c r="F282" s="16"/>
      <c r="G282" s="1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6"/>
      <c r="D283" s="16"/>
      <c r="E283" s="16"/>
      <c r="F283" s="16"/>
      <c r="G283" s="1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6"/>
      <c r="D284" s="16"/>
      <c r="E284" s="16"/>
      <c r="F284" s="16"/>
      <c r="G284" s="1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6"/>
      <c r="D285" s="16"/>
      <c r="E285" s="16"/>
      <c r="F285" s="16"/>
      <c r="G285" s="1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6"/>
      <c r="D286" s="16"/>
      <c r="E286" s="16"/>
      <c r="F286" s="16"/>
      <c r="G286" s="1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6"/>
      <c r="D287" s="16"/>
      <c r="E287" s="16"/>
      <c r="F287" s="16"/>
      <c r="G287" s="1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6"/>
      <c r="D288" s="16"/>
      <c r="E288" s="16"/>
      <c r="F288" s="16"/>
      <c r="G288" s="1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6"/>
      <c r="D289" s="16"/>
      <c r="E289" s="16"/>
      <c r="F289" s="16"/>
      <c r="G289" s="1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6"/>
      <c r="D290" s="16"/>
      <c r="E290" s="16"/>
      <c r="F290" s="16"/>
      <c r="G290" s="1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6"/>
      <c r="D291" s="16"/>
      <c r="E291" s="16"/>
      <c r="F291" s="16"/>
      <c r="G291" s="1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6"/>
      <c r="D292" s="16"/>
      <c r="E292" s="16"/>
      <c r="F292" s="16"/>
      <c r="G292" s="1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6"/>
      <c r="D293" s="16"/>
      <c r="E293" s="16"/>
      <c r="F293" s="16"/>
      <c r="G293" s="1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6"/>
      <c r="D294" s="16"/>
      <c r="E294" s="16"/>
      <c r="F294" s="16"/>
      <c r="G294" s="1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6"/>
      <c r="D295" s="16"/>
      <c r="E295" s="16"/>
      <c r="F295" s="16"/>
      <c r="G295" s="1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6"/>
      <c r="D296" s="16"/>
      <c r="E296" s="16"/>
      <c r="F296" s="16"/>
      <c r="G296" s="1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6"/>
      <c r="D297" s="16"/>
      <c r="E297" s="16"/>
      <c r="F297" s="16"/>
      <c r="G297" s="1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6"/>
      <c r="D298" s="16"/>
      <c r="E298" s="16"/>
      <c r="F298" s="16"/>
      <c r="G298" s="1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6"/>
      <c r="D299" s="16"/>
      <c r="E299" s="16"/>
      <c r="F299" s="16"/>
      <c r="G299" s="1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6"/>
      <c r="D300" s="16"/>
      <c r="E300" s="16"/>
      <c r="F300" s="16"/>
      <c r="G300" s="1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6"/>
      <c r="D301" s="16"/>
      <c r="E301" s="16"/>
      <c r="F301" s="16"/>
      <c r="G301" s="1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6"/>
      <c r="D302" s="16"/>
      <c r="E302" s="16"/>
      <c r="F302" s="16"/>
      <c r="G302" s="1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6"/>
      <c r="D303" s="16"/>
      <c r="E303" s="16"/>
      <c r="F303" s="16"/>
      <c r="G303" s="1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6"/>
      <c r="D304" s="16"/>
      <c r="E304" s="16"/>
      <c r="F304" s="16"/>
      <c r="G304" s="1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6"/>
      <c r="D305" s="16"/>
      <c r="E305" s="16"/>
      <c r="F305" s="16"/>
      <c r="G305" s="1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6"/>
      <c r="D306" s="16"/>
      <c r="E306" s="16"/>
      <c r="F306" s="16"/>
      <c r="G306" s="1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6"/>
      <c r="D307" s="16"/>
      <c r="E307" s="16"/>
      <c r="F307" s="16"/>
      <c r="G307" s="1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6"/>
      <c r="D308" s="16"/>
      <c r="E308" s="16"/>
      <c r="F308" s="16"/>
      <c r="G308" s="1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6"/>
      <c r="D309" s="16"/>
      <c r="E309" s="16"/>
      <c r="F309" s="16"/>
      <c r="G309" s="1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6"/>
      <c r="D310" s="16"/>
      <c r="E310" s="16"/>
      <c r="F310" s="16"/>
      <c r="G310" s="1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6"/>
      <c r="D311" s="16"/>
      <c r="E311" s="16"/>
      <c r="F311" s="16"/>
      <c r="G311" s="1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6"/>
      <c r="D312" s="16"/>
      <c r="E312" s="16"/>
      <c r="F312" s="16"/>
      <c r="G312" s="1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6"/>
      <c r="D313" s="16"/>
      <c r="E313" s="16"/>
      <c r="F313" s="16"/>
      <c r="G313" s="1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6"/>
      <c r="D314" s="16"/>
      <c r="E314" s="16"/>
      <c r="F314" s="16"/>
      <c r="G314" s="1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6"/>
      <c r="D315" s="16"/>
      <c r="E315" s="16"/>
      <c r="F315" s="16"/>
      <c r="G315" s="1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6"/>
      <c r="D316" s="16"/>
      <c r="E316" s="16"/>
      <c r="F316" s="16"/>
      <c r="G316" s="1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6"/>
      <c r="D317" s="16"/>
      <c r="E317" s="16"/>
      <c r="F317" s="16"/>
      <c r="G317" s="1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6"/>
      <c r="D318" s="16"/>
      <c r="E318" s="16"/>
      <c r="F318" s="16"/>
      <c r="G318" s="1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6"/>
      <c r="D319" s="16"/>
      <c r="E319" s="16"/>
      <c r="F319" s="16"/>
      <c r="G319" s="1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6"/>
      <c r="D320" s="16"/>
      <c r="E320" s="16"/>
      <c r="F320" s="16"/>
      <c r="G320" s="1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6"/>
      <c r="D321" s="16"/>
      <c r="E321" s="16"/>
      <c r="F321" s="16"/>
      <c r="G321" s="1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6"/>
      <c r="D322" s="16"/>
      <c r="E322" s="16"/>
      <c r="F322" s="16"/>
      <c r="G322" s="1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6"/>
      <c r="D323" s="16"/>
      <c r="E323" s="16"/>
      <c r="F323" s="16"/>
      <c r="G323" s="1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6"/>
      <c r="D324" s="16"/>
      <c r="E324" s="16"/>
      <c r="F324" s="16"/>
      <c r="G324" s="1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6"/>
      <c r="D325" s="16"/>
      <c r="E325" s="16"/>
      <c r="F325" s="16"/>
      <c r="G325" s="1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6"/>
      <c r="D326" s="16"/>
      <c r="E326" s="16"/>
      <c r="F326" s="16"/>
      <c r="G326" s="1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6"/>
      <c r="D327" s="16"/>
      <c r="E327" s="16"/>
      <c r="F327" s="16"/>
      <c r="G327" s="1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6"/>
      <c r="D328" s="16"/>
      <c r="E328" s="16"/>
      <c r="F328" s="16"/>
      <c r="G328" s="1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6"/>
      <c r="D329" s="16"/>
      <c r="E329" s="16"/>
      <c r="F329" s="16"/>
      <c r="G329" s="1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6"/>
      <c r="D330" s="16"/>
      <c r="E330" s="16"/>
      <c r="F330" s="16"/>
      <c r="G330" s="1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6"/>
      <c r="D331" s="16"/>
      <c r="E331" s="16"/>
      <c r="F331" s="16"/>
      <c r="G331" s="1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6"/>
      <c r="D332" s="16"/>
      <c r="E332" s="16"/>
      <c r="F332" s="16"/>
      <c r="G332" s="1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6"/>
      <c r="D333" s="16"/>
      <c r="E333" s="16"/>
      <c r="F333" s="16"/>
      <c r="G333" s="1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6"/>
      <c r="D334" s="16"/>
      <c r="E334" s="16"/>
      <c r="F334" s="16"/>
      <c r="G334" s="1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6"/>
      <c r="D335" s="16"/>
      <c r="E335" s="16"/>
      <c r="F335" s="16"/>
      <c r="G335" s="1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6"/>
      <c r="D336" s="16"/>
      <c r="E336" s="16"/>
      <c r="F336" s="16"/>
      <c r="G336" s="1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6"/>
      <c r="D337" s="16"/>
      <c r="E337" s="16"/>
      <c r="F337" s="16"/>
      <c r="G337" s="1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6"/>
      <c r="D338" s="16"/>
      <c r="E338" s="16"/>
      <c r="F338" s="16"/>
      <c r="G338" s="1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6"/>
      <c r="D339" s="16"/>
      <c r="E339" s="16"/>
      <c r="F339" s="16"/>
      <c r="G339" s="1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6"/>
      <c r="D340" s="16"/>
      <c r="E340" s="16"/>
      <c r="F340" s="16"/>
      <c r="G340" s="1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6"/>
      <c r="D341" s="16"/>
      <c r="E341" s="16"/>
      <c r="F341" s="16"/>
      <c r="G341" s="1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6"/>
      <c r="D342" s="16"/>
      <c r="E342" s="16"/>
      <c r="F342" s="16"/>
      <c r="G342" s="1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6"/>
      <c r="D343" s="16"/>
      <c r="E343" s="16"/>
      <c r="F343" s="16"/>
      <c r="G343" s="1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6"/>
      <c r="D344" s="16"/>
      <c r="E344" s="16"/>
      <c r="F344" s="16"/>
      <c r="G344" s="1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6"/>
      <c r="D345" s="16"/>
      <c r="E345" s="16"/>
      <c r="F345" s="16"/>
      <c r="G345" s="1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6"/>
      <c r="D346" s="16"/>
      <c r="E346" s="16"/>
      <c r="F346" s="16"/>
      <c r="G346" s="1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6"/>
      <c r="D347" s="16"/>
      <c r="E347" s="16"/>
      <c r="F347" s="16"/>
      <c r="G347" s="1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6"/>
      <c r="D348" s="16"/>
      <c r="E348" s="16"/>
      <c r="F348" s="16"/>
      <c r="G348" s="1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6"/>
      <c r="D349" s="16"/>
      <c r="E349" s="16"/>
      <c r="F349" s="16"/>
      <c r="G349" s="1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6"/>
      <c r="D350" s="16"/>
      <c r="E350" s="16"/>
      <c r="F350" s="16"/>
      <c r="G350" s="1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6"/>
      <c r="D351" s="16"/>
      <c r="E351" s="16"/>
      <c r="F351" s="16"/>
      <c r="G351" s="1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6"/>
      <c r="D352" s="16"/>
      <c r="E352" s="16"/>
      <c r="F352" s="16"/>
      <c r="G352" s="1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6"/>
      <c r="D353" s="16"/>
      <c r="E353" s="16"/>
      <c r="F353" s="16"/>
      <c r="G353" s="1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6"/>
      <c r="D354" s="16"/>
      <c r="E354" s="16"/>
      <c r="F354" s="16"/>
      <c r="G354" s="1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6"/>
      <c r="D355" s="16"/>
      <c r="E355" s="16"/>
      <c r="F355" s="16"/>
      <c r="G355" s="1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6"/>
      <c r="D356" s="16"/>
      <c r="E356" s="16"/>
      <c r="F356" s="16"/>
      <c r="G356" s="1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6"/>
      <c r="D357" s="16"/>
      <c r="E357" s="16"/>
      <c r="F357" s="16"/>
      <c r="G357" s="1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6"/>
      <c r="D358" s="16"/>
      <c r="E358" s="16"/>
      <c r="F358" s="16"/>
      <c r="G358" s="1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6"/>
      <c r="D359" s="16"/>
      <c r="E359" s="16"/>
      <c r="F359" s="16"/>
      <c r="G359" s="1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6"/>
      <c r="D360" s="16"/>
      <c r="E360" s="16"/>
      <c r="F360" s="16"/>
      <c r="G360" s="1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6"/>
      <c r="D361" s="16"/>
      <c r="E361" s="16"/>
      <c r="F361" s="16"/>
      <c r="G361" s="1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6"/>
      <c r="D362" s="16"/>
      <c r="E362" s="16"/>
      <c r="F362" s="16"/>
      <c r="G362" s="1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6"/>
      <c r="D363" s="16"/>
      <c r="E363" s="16"/>
      <c r="F363" s="16"/>
      <c r="G363" s="1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6"/>
      <c r="D364" s="16"/>
      <c r="E364" s="16"/>
      <c r="F364" s="16"/>
      <c r="G364" s="1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6"/>
      <c r="D365" s="16"/>
      <c r="E365" s="16"/>
      <c r="F365" s="16"/>
      <c r="G365" s="1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6"/>
      <c r="D366" s="16"/>
      <c r="E366" s="16"/>
      <c r="F366" s="16"/>
      <c r="G366" s="1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6"/>
      <c r="D367" s="16"/>
      <c r="E367" s="16"/>
      <c r="F367" s="16"/>
      <c r="G367" s="1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6"/>
      <c r="D368" s="16"/>
      <c r="E368" s="16"/>
      <c r="F368" s="16"/>
      <c r="G368" s="1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6"/>
      <c r="D369" s="16"/>
      <c r="E369" s="16"/>
      <c r="F369" s="16"/>
      <c r="G369" s="1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6"/>
      <c r="D370" s="16"/>
      <c r="E370" s="16"/>
      <c r="F370" s="16"/>
      <c r="G370" s="1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6"/>
      <c r="D371" s="16"/>
      <c r="E371" s="16"/>
      <c r="F371" s="16"/>
      <c r="G371" s="1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6"/>
      <c r="D372" s="16"/>
      <c r="E372" s="16"/>
      <c r="F372" s="16"/>
      <c r="G372" s="1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6"/>
      <c r="D373" s="16"/>
      <c r="E373" s="16"/>
      <c r="F373" s="16"/>
      <c r="G373" s="1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6"/>
      <c r="D374" s="16"/>
      <c r="E374" s="16"/>
      <c r="F374" s="16"/>
      <c r="G374" s="1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6"/>
      <c r="D375" s="16"/>
      <c r="E375" s="16"/>
      <c r="F375" s="16"/>
      <c r="G375" s="1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6"/>
      <c r="D376" s="16"/>
      <c r="E376" s="16"/>
      <c r="F376" s="16"/>
      <c r="G376" s="1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6"/>
      <c r="D377" s="16"/>
      <c r="E377" s="16"/>
      <c r="F377" s="16"/>
      <c r="G377" s="1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6"/>
      <c r="D378" s="16"/>
      <c r="E378" s="16"/>
      <c r="F378" s="16"/>
      <c r="G378" s="1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6"/>
      <c r="D379" s="16"/>
      <c r="E379" s="16"/>
      <c r="F379" s="16"/>
      <c r="G379" s="1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6"/>
      <c r="D380" s="16"/>
      <c r="E380" s="16"/>
      <c r="F380" s="16"/>
      <c r="G380" s="1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6"/>
      <c r="D381" s="16"/>
      <c r="E381" s="16"/>
      <c r="F381" s="16"/>
      <c r="G381" s="1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6"/>
      <c r="D382" s="16"/>
      <c r="E382" s="16"/>
      <c r="F382" s="16"/>
      <c r="G382" s="1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6"/>
      <c r="D383" s="16"/>
      <c r="E383" s="16"/>
      <c r="F383" s="16"/>
      <c r="G383" s="1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6"/>
      <c r="D384" s="16"/>
      <c r="E384" s="16"/>
      <c r="F384" s="16"/>
      <c r="G384" s="1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6"/>
      <c r="D385" s="16"/>
      <c r="E385" s="16"/>
      <c r="F385" s="16"/>
      <c r="G385" s="1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6"/>
      <c r="D386" s="16"/>
      <c r="E386" s="16"/>
      <c r="F386" s="16"/>
      <c r="G386" s="1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6"/>
      <c r="D387" s="16"/>
      <c r="E387" s="16"/>
      <c r="F387" s="16"/>
      <c r="G387" s="1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6"/>
      <c r="D388" s="16"/>
      <c r="E388" s="16"/>
      <c r="F388" s="16"/>
      <c r="G388" s="1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6"/>
      <c r="D389" s="16"/>
      <c r="E389" s="16"/>
      <c r="F389" s="16"/>
      <c r="G389" s="1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6"/>
      <c r="D390" s="16"/>
      <c r="E390" s="16"/>
      <c r="F390" s="16"/>
      <c r="G390" s="1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6"/>
      <c r="D391" s="16"/>
      <c r="E391" s="16"/>
      <c r="F391" s="16"/>
      <c r="G391" s="1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6"/>
      <c r="D392" s="16"/>
      <c r="E392" s="16"/>
      <c r="F392" s="16"/>
      <c r="G392" s="1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6"/>
      <c r="D393" s="16"/>
      <c r="E393" s="16"/>
      <c r="F393" s="16"/>
      <c r="G393" s="1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6"/>
      <c r="D394" s="16"/>
      <c r="E394" s="16"/>
      <c r="F394" s="16"/>
      <c r="G394" s="1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6"/>
      <c r="D395" s="16"/>
      <c r="E395" s="16"/>
      <c r="F395" s="16"/>
      <c r="G395" s="1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6"/>
      <c r="D396" s="16"/>
      <c r="E396" s="16"/>
      <c r="F396" s="16"/>
      <c r="G396" s="1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6"/>
      <c r="D397" s="16"/>
      <c r="E397" s="16"/>
      <c r="F397" s="16"/>
      <c r="G397" s="1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6"/>
      <c r="D398" s="16"/>
      <c r="E398" s="16"/>
      <c r="F398" s="16"/>
      <c r="G398" s="1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6"/>
      <c r="D399" s="16"/>
      <c r="E399" s="16"/>
      <c r="F399" s="16"/>
      <c r="G399" s="1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6"/>
      <c r="D400" s="16"/>
      <c r="E400" s="16"/>
      <c r="F400" s="16"/>
      <c r="G400" s="1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6"/>
      <c r="D401" s="16"/>
      <c r="E401" s="16"/>
      <c r="F401" s="16"/>
      <c r="G401" s="1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6"/>
      <c r="D402" s="16"/>
      <c r="E402" s="16"/>
      <c r="F402" s="16"/>
      <c r="G402" s="1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6"/>
      <c r="D403" s="16"/>
      <c r="E403" s="16"/>
      <c r="F403" s="16"/>
      <c r="G403" s="1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6"/>
      <c r="D404" s="16"/>
      <c r="E404" s="16"/>
      <c r="F404" s="16"/>
      <c r="G404" s="1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6"/>
      <c r="D405" s="16"/>
      <c r="E405" s="16"/>
      <c r="F405" s="16"/>
      <c r="G405" s="1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6"/>
      <c r="D406" s="16"/>
      <c r="E406" s="16"/>
      <c r="F406" s="16"/>
      <c r="G406" s="1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6"/>
      <c r="D407" s="16"/>
      <c r="E407" s="16"/>
      <c r="F407" s="16"/>
      <c r="G407" s="1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6"/>
      <c r="D408" s="16"/>
      <c r="E408" s="16"/>
      <c r="F408" s="16"/>
      <c r="G408" s="1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6"/>
      <c r="D409" s="16"/>
      <c r="E409" s="16"/>
      <c r="F409" s="16"/>
      <c r="G409" s="1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6"/>
      <c r="D410" s="16"/>
      <c r="E410" s="16"/>
      <c r="F410" s="16"/>
      <c r="G410" s="1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6"/>
      <c r="D411" s="16"/>
      <c r="E411" s="16"/>
      <c r="F411" s="16"/>
      <c r="G411" s="1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6"/>
      <c r="D412" s="16"/>
      <c r="E412" s="16"/>
      <c r="F412" s="16"/>
      <c r="G412" s="1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6"/>
      <c r="D413" s="16"/>
      <c r="E413" s="16"/>
      <c r="F413" s="16"/>
      <c r="G413" s="1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6"/>
      <c r="D414" s="16"/>
      <c r="E414" s="16"/>
      <c r="F414" s="16"/>
      <c r="G414" s="1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6"/>
      <c r="D415" s="16"/>
      <c r="E415" s="16"/>
      <c r="F415" s="16"/>
      <c r="G415" s="1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6"/>
      <c r="D416" s="16"/>
      <c r="E416" s="16"/>
      <c r="F416" s="16"/>
      <c r="G416" s="1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6"/>
      <c r="D417" s="16"/>
      <c r="E417" s="16"/>
      <c r="F417" s="16"/>
      <c r="G417" s="1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6"/>
      <c r="D418" s="16"/>
      <c r="E418" s="16"/>
      <c r="F418" s="16"/>
      <c r="G418" s="1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6"/>
      <c r="D419" s="16"/>
      <c r="E419" s="16"/>
      <c r="F419" s="16"/>
      <c r="G419" s="1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6"/>
      <c r="D420" s="16"/>
      <c r="E420" s="16"/>
      <c r="F420" s="16"/>
      <c r="G420" s="1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6"/>
      <c r="D421" s="16"/>
      <c r="E421" s="16"/>
      <c r="F421" s="16"/>
      <c r="G421" s="1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6"/>
      <c r="D422" s="16"/>
      <c r="E422" s="16"/>
      <c r="F422" s="16"/>
      <c r="G422" s="1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6"/>
      <c r="D423" s="16"/>
      <c r="E423" s="16"/>
      <c r="F423" s="16"/>
      <c r="G423" s="1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6"/>
      <c r="D424" s="16"/>
      <c r="E424" s="16"/>
      <c r="F424" s="16"/>
      <c r="G424" s="1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6"/>
      <c r="D425" s="16"/>
      <c r="E425" s="16"/>
      <c r="F425" s="16"/>
      <c r="G425" s="1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6"/>
      <c r="D426" s="16"/>
      <c r="E426" s="16"/>
      <c r="F426" s="16"/>
      <c r="G426" s="1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6"/>
      <c r="D427" s="16"/>
      <c r="E427" s="16"/>
      <c r="F427" s="16"/>
      <c r="G427" s="1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6"/>
      <c r="D428" s="16"/>
      <c r="E428" s="16"/>
      <c r="F428" s="16"/>
      <c r="G428" s="1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6"/>
      <c r="D429" s="16"/>
      <c r="E429" s="16"/>
      <c r="F429" s="16"/>
      <c r="G429" s="1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6"/>
      <c r="D430" s="16"/>
      <c r="E430" s="16"/>
      <c r="F430" s="16"/>
      <c r="G430" s="1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6"/>
      <c r="D431" s="16"/>
      <c r="E431" s="16"/>
      <c r="F431" s="16"/>
      <c r="G431" s="1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6"/>
      <c r="D432" s="16"/>
      <c r="E432" s="16"/>
      <c r="F432" s="16"/>
      <c r="G432" s="1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6"/>
      <c r="D433" s="16"/>
      <c r="E433" s="16"/>
      <c r="F433" s="16"/>
      <c r="G433" s="1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6"/>
      <c r="D434" s="16"/>
      <c r="E434" s="16"/>
      <c r="F434" s="16"/>
      <c r="G434" s="1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6"/>
      <c r="D435" s="16"/>
      <c r="E435" s="16"/>
      <c r="F435" s="16"/>
      <c r="G435" s="1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6"/>
      <c r="D436" s="16"/>
      <c r="E436" s="16"/>
      <c r="F436" s="16"/>
      <c r="G436" s="1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6"/>
      <c r="D437" s="16"/>
      <c r="E437" s="16"/>
      <c r="F437" s="16"/>
      <c r="G437" s="1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6"/>
      <c r="D438" s="16"/>
      <c r="E438" s="16"/>
      <c r="F438" s="16"/>
      <c r="G438" s="1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6"/>
      <c r="D439" s="16"/>
      <c r="E439" s="16"/>
      <c r="F439" s="16"/>
      <c r="G439" s="1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6"/>
      <c r="D440" s="16"/>
      <c r="E440" s="16"/>
      <c r="F440" s="16"/>
      <c r="G440" s="1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6"/>
      <c r="D441" s="16"/>
      <c r="E441" s="16"/>
      <c r="F441" s="16"/>
      <c r="G441" s="1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6"/>
      <c r="D442" s="16"/>
      <c r="E442" s="16"/>
      <c r="F442" s="16"/>
      <c r="G442" s="1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6"/>
      <c r="D443" s="16"/>
      <c r="E443" s="16"/>
      <c r="F443" s="16"/>
      <c r="G443" s="1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6"/>
      <c r="D444" s="16"/>
      <c r="E444" s="16"/>
      <c r="F444" s="16"/>
      <c r="G444" s="1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6"/>
      <c r="D445" s="16"/>
      <c r="E445" s="16"/>
      <c r="F445" s="16"/>
      <c r="G445" s="1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6"/>
      <c r="D446" s="16"/>
      <c r="E446" s="16"/>
      <c r="F446" s="16"/>
      <c r="G446" s="1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6"/>
      <c r="D447" s="16"/>
      <c r="E447" s="16"/>
      <c r="F447" s="16"/>
      <c r="G447" s="1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6"/>
      <c r="D448" s="16"/>
      <c r="E448" s="16"/>
      <c r="F448" s="16"/>
      <c r="G448" s="1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6"/>
      <c r="D449" s="16"/>
      <c r="E449" s="16"/>
      <c r="F449" s="16"/>
      <c r="G449" s="1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6"/>
      <c r="D450" s="16"/>
      <c r="E450" s="16"/>
      <c r="F450" s="16"/>
      <c r="G450" s="1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6"/>
      <c r="D451" s="16"/>
      <c r="E451" s="16"/>
      <c r="F451" s="16"/>
      <c r="G451" s="1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6"/>
      <c r="D452" s="16"/>
      <c r="E452" s="16"/>
      <c r="F452" s="16"/>
      <c r="G452" s="1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6"/>
      <c r="D453" s="16"/>
      <c r="E453" s="16"/>
      <c r="F453" s="16"/>
      <c r="G453" s="1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6"/>
      <c r="D454" s="16"/>
      <c r="E454" s="16"/>
      <c r="F454" s="16"/>
      <c r="G454" s="1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6"/>
      <c r="D455" s="16"/>
      <c r="E455" s="16"/>
      <c r="F455" s="16"/>
      <c r="G455" s="1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6"/>
      <c r="D456" s="16"/>
      <c r="E456" s="16"/>
      <c r="F456" s="16"/>
      <c r="G456" s="1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6"/>
      <c r="D457" s="16"/>
      <c r="E457" s="16"/>
      <c r="F457" s="16"/>
      <c r="G457" s="1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6"/>
      <c r="D458" s="16"/>
      <c r="E458" s="16"/>
      <c r="F458" s="16"/>
      <c r="G458" s="1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6"/>
      <c r="D459" s="16"/>
      <c r="E459" s="16"/>
      <c r="F459" s="16"/>
      <c r="G459" s="1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6"/>
      <c r="D460" s="16"/>
      <c r="E460" s="16"/>
      <c r="F460" s="16"/>
      <c r="G460" s="1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6"/>
      <c r="D461" s="16"/>
      <c r="E461" s="16"/>
      <c r="F461" s="16"/>
      <c r="G461" s="1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6"/>
      <c r="D462" s="16"/>
      <c r="E462" s="16"/>
      <c r="F462" s="16"/>
      <c r="G462" s="1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6"/>
      <c r="D463" s="16"/>
      <c r="E463" s="16"/>
      <c r="F463" s="16"/>
      <c r="G463" s="1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6"/>
      <c r="D464" s="16"/>
      <c r="E464" s="16"/>
      <c r="F464" s="16"/>
      <c r="G464" s="1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6"/>
      <c r="D465" s="16"/>
      <c r="E465" s="16"/>
      <c r="F465" s="16"/>
      <c r="G465" s="1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6"/>
      <c r="D466" s="16"/>
      <c r="E466" s="16"/>
      <c r="F466" s="16"/>
      <c r="G466" s="1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6"/>
      <c r="D467" s="16"/>
      <c r="E467" s="16"/>
      <c r="F467" s="16"/>
      <c r="G467" s="1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6"/>
      <c r="D468" s="16"/>
      <c r="E468" s="16"/>
      <c r="F468" s="16"/>
      <c r="G468" s="1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6"/>
      <c r="D469" s="16"/>
      <c r="E469" s="16"/>
      <c r="F469" s="16"/>
      <c r="G469" s="1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6"/>
      <c r="D470" s="16"/>
      <c r="E470" s="16"/>
      <c r="F470" s="16"/>
      <c r="G470" s="1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6"/>
      <c r="D471" s="16"/>
      <c r="E471" s="16"/>
      <c r="F471" s="16"/>
      <c r="G471" s="1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6"/>
      <c r="D472" s="16"/>
      <c r="E472" s="16"/>
      <c r="F472" s="16"/>
      <c r="G472" s="1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6"/>
      <c r="D473" s="16"/>
      <c r="E473" s="16"/>
      <c r="F473" s="16"/>
      <c r="G473" s="1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6"/>
      <c r="D474" s="16"/>
      <c r="E474" s="16"/>
      <c r="F474" s="16"/>
      <c r="G474" s="1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6"/>
      <c r="D475" s="16"/>
      <c r="E475" s="16"/>
      <c r="F475" s="16"/>
      <c r="G475" s="1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6"/>
      <c r="D476" s="16"/>
      <c r="E476" s="16"/>
      <c r="F476" s="16"/>
      <c r="G476" s="1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6"/>
      <c r="D477" s="16"/>
      <c r="E477" s="16"/>
      <c r="F477" s="16"/>
      <c r="G477" s="1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6"/>
      <c r="D478" s="16"/>
      <c r="E478" s="16"/>
      <c r="F478" s="16"/>
      <c r="G478" s="1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6"/>
      <c r="D479" s="16"/>
      <c r="E479" s="16"/>
      <c r="F479" s="16"/>
      <c r="G479" s="1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6"/>
      <c r="D480" s="16"/>
      <c r="E480" s="16"/>
      <c r="F480" s="16"/>
      <c r="G480" s="1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6"/>
      <c r="D481" s="16"/>
      <c r="E481" s="16"/>
      <c r="F481" s="16"/>
      <c r="G481" s="1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6"/>
      <c r="D482" s="16"/>
      <c r="E482" s="16"/>
      <c r="F482" s="16"/>
      <c r="G482" s="1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6"/>
      <c r="D483" s="16"/>
      <c r="E483" s="16"/>
      <c r="F483" s="16"/>
      <c r="G483" s="1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6"/>
      <c r="D484" s="16"/>
      <c r="E484" s="16"/>
      <c r="F484" s="16"/>
      <c r="G484" s="1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6"/>
      <c r="D485" s="16"/>
      <c r="E485" s="16"/>
      <c r="F485" s="16"/>
      <c r="G485" s="1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6"/>
      <c r="D486" s="16"/>
      <c r="E486" s="16"/>
      <c r="F486" s="16"/>
      <c r="G486" s="1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6"/>
      <c r="D487" s="16"/>
      <c r="E487" s="16"/>
      <c r="F487" s="16"/>
      <c r="G487" s="1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6"/>
      <c r="D488" s="16"/>
      <c r="E488" s="16"/>
      <c r="F488" s="16"/>
      <c r="G488" s="1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6"/>
      <c r="D489" s="16"/>
      <c r="E489" s="16"/>
      <c r="F489" s="16"/>
      <c r="G489" s="1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6"/>
      <c r="D490" s="16"/>
      <c r="E490" s="16"/>
      <c r="F490" s="16"/>
      <c r="G490" s="1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6"/>
      <c r="D491" s="16"/>
      <c r="E491" s="16"/>
      <c r="F491" s="16"/>
      <c r="G491" s="1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6"/>
      <c r="D492" s="16"/>
      <c r="E492" s="16"/>
      <c r="F492" s="16"/>
      <c r="G492" s="1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6"/>
      <c r="D493" s="16"/>
      <c r="E493" s="16"/>
      <c r="F493" s="16"/>
      <c r="G493" s="1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6"/>
      <c r="D494" s="16"/>
      <c r="E494" s="16"/>
      <c r="F494" s="16"/>
      <c r="G494" s="1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6"/>
      <c r="D495" s="16"/>
      <c r="E495" s="16"/>
      <c r="F495" s="16"/>
      <c r="G495" s="1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6"/>
      <c r="D496" s="16"/>
      <c r="E496" s="16"/>
      <c r="F496" s="16"/>
      <c r="G496" s="1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6"/>
      <c r="D497" s="16"/>
      <c r="E497" s="16"/>
      <c r="F497" s="16"/>
      <c r="G497" s="1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6"/>
      <c r="D498" s="16"/>
      <c r="E498" s="16"/>
      <c r="F498" s="16"/>
      <c r="G498" s="1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6"/>
      <c r="D499" s="16"/>
      <c r="E499" s="16"/>
      <c r="F499" s="16"/>
      <c r="G499" s="1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6"/>
      <c r="D500" s="16"/>
      <c r="E500" s="16"/>
      <c r="F500" s="16"/>
      <c r="G500" s="1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6"/>
      <c r="D501" s="16"/>
      <c r="E501" s="16"/>
      <c r="F501" s="16"/>
      <c r="G501" s="1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6"/>
      <c r="D502" s="16"/>
      <c r="E502" s="16"/>
      <c r="F502" s="16"/>
      <c r="G502" s="1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6"/>
      <c r="D503" s="16"/>
      <c r="E503" s="16"/>
      <c r="F503" s="16"/>
      <c r="G503" s="1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6"/>
      <c r="D504" s="16"/>
      <c r="E504" s="16"/>
      <c r="F504" s="16"/>
      <c r="G504" s="1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6"/>
      <c r="D505" s="16"/>
      <c r="E505" s="16"/>
      <c r="F505" s="16"/>
      <c r="G505" s="1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6"/>
      <c r="D506" s="16"/>
      <c r="E506" s="16"/>
      <c r="F506" s="16"/>
      <c r="G506" s="1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6"/>
      <c r="D507" s="16"/>
      <c r="E507" s="16"/>
      <c r="F507" s="16"/>
      <c r="G507" s="1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6"/>
      <c r="D508" s="16"/>
      <c r="E508" s="16"/>
      <c r="F508" s="16"/>
      <c r="G508" s="1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6"/>
      <c r="D509" s="16"/>
      <c r="E509" s="16"/>
      <c r="F509" s="16"/>
      <c r="G509" s="1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6"/>
      <c r="D510" s="16"/>
      <c r="E510" s="16"/>
      <c r="F510" s="16"/>
      <c r="G510" s="1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6"/>
      <c r="D511" s="16"/>
      <c r="E511" s="16"/>
      <c r="F511" s="16"/>
      <c r="G511" s="1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6"/>
      <c r="D512" s="16"/>
      <c r="E512" s="16"/>
      <c r="F512" s="16"/>
      <c r="G512" s="1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6"/>
      <c r="D513" s="16"/>
      <c r="E513" s="16"/>
      <c r="F513" s="16"/>
      <c r="G513" s="1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6"/>
      <c r="D514" s="16"/>
      <c r="E514" s="16"/>
      <c r="F514" s="16"/>
      <c r="G514" s="1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6"/>
      <c r="D515" s="16"/>
      <c r="E515" s="16"/>
      <c r="F515" s="16"/>
      <c r="G515" s="1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6"/>
      <c r="D516" s="16"/>
      <c r="E516" s="16"/>
      <c r="F516" s="16"/>
      <c r="G516" s="1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6"/>
      <c r="D517" s="16"/>
      <c r="E517" s="16"/>
      <c r="F517" s="16"/>
      <c r="G517" s="1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6"/>
      <c r="D518" s="16"/>
      <c r="E518" s="16"/>
      <c r="F518" s="16"/>
      <c r="G518" s="1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6"/>
      <c r="D519" s="16"/>
      <c r="E519" s="16"/>
      <c r="F519" s="16"/>
      <c r="G519" s="1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6"/>
      <c r="D520" s="16"/>
      <c r="E520" s="16"/>
      <c r="F520" s="16"/>
      <c r="G520" s="1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6"/>
      <c r="D521" s="16"/>
      <c r="E521" s="16"/>
      <c r="F521" s="16"/>
      <c r="G521" s="1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6"/>
      <c r="D522" s="16"/>
      <c r="E522" s="16"/>
      <c r="F522" s="16"/>
      <c r="G522" s="1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6"/>
      <c r="D523" s="16"/>
      <c r="E523" s="16"/>
      <c r="F523" s="16"/>
      <c r="G523" s="1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6"/>
      <c r="D524" s="16"/>
      <c r="E524" s="16"/>
      <c r="F524" s="16"/>
      <c r="G524" s="1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6"/>
      <c r="D525" s="16"/>
      <c r="E525" s="16"/>
      <c r="F525" s="16"/>
      <c r="G525" s="1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6"/>
      <c r="D526" s="16"/>
      <c r="E526" s="16"/>
      <c r="F526" s="16"/>
      <c r="G526" s="1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6"/>
      <c r="D527" s="16"/>
      <c r="E527" s="16"/>
      <c r="F527" s="16"/>
      <c r="G527" s="1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6"/>
      <c r="D528" s="16"/>
      <c r="E528" s="16"/>
      <c r="F528" s="16"/>
      <c r="G528" s="1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6"/>
      <c r="D529" s="16"/>
      <c r="E529" s="16"/>
      <c r="F529" s="16"/>
      <c r="G529" s="1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6"/>
      <c r="D530" s="16"/>
      <c r="E530" s="16"/>
      <c r="F530" s="16"/>
      <c r="G530" s="1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6"/>
      <c r="D531" s="16"/>
      <c r="E531" s="16"/>
      <c r="F531" s="16"/>
      <c r="G531" s="1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6"/>
      <c r="D532" s="16"/>
      <c r="E532" s="16"/>
      <c r="F532" s="16"/>
      <c r="G532" s="1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6"/>
      <c r="D533" s="16"/>
      <c r="E533" s="16"/>
      <c r="F533" s="16"/>
      <c r="G533" s="1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6"/>
      <c r="D534" s="16"/>
      <c r="E534" s="16"/>
      <c r="F534" s="16"/>
      <c r="G534" s="1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6"/>
      <c r="D535" s="16"/>
      <c r="E535" s="16"/>
      <c r="F535" s="16"/>
      <c r="G535" s="1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6"/>
      <c r="D536" s="16"/>
      <c r="E536" s="16"/>
      <c r="F536" s="16"/>
      <c r="G536" s="1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6"/>
      <c r="D537" s="16"/>
      <c r="E537" s="16"/>
      <c r="F537" s="16"/>
      <c r="G537" s="1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6"/>
      <c r="D538" s="16"/>
      <c r="E538" s="16"/>
      <c r="F538" s="16"/>
      <c r="G538" s="1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6"/>
      <c r="D539" s="16"/>
      <c r="E539" s="16"/>
      <c r="F539" s="16"/>
      <c r="G539" s="1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6"/>
      <c r="D540" s="16"/>
      <c r="E540" s="16"/>
      <c r="F540" s="16"/>
      <c r="G540" s="1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6"/>
      <c r="D541" s="16"/>
      <c r="E541" s="16"/>
      <c r="F541" s="16"/>
      <c r="G541" s="1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6"/>
      <c r="D542" s="16"/>
      <c r="E542" s="16"/>
      <c r="F542" s="16"/>
      <c r="G542" s="1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6"/>
      <c r="D543" s="16"/>
      <c r="E543" s="16"/>
      <c r="F543" s="16"/>
      <c r="G543" s="1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6"/>
      <c r="D544" s="16"/>
      <c r="E544" s="16"/>
      <c r="F544" s="16"/>
      <c r="G544" s="1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6"/>
      <c r="D545" s="16"/>
      <c r="E545" s="16"/>
      <c r="F545" s="16"/>
      <c r="G545" s="1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6"/>
      <c r="D546" s="16"/>
      <c r="E546" s="16"/>
      <c r="F546" s="16"/>
      <c r="G546" s="1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6"/>
      <c r="D547" s="16"/>
      <c r="E547" s="16"/>
      <c r="F547" s="16"/>
      <c r="G547" s="1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6"/>
      <c r="D548" s="16"/>
      <c r="E548" s="16"/>
      <c r="F548" s="16"/>
      <c r="G548" s="1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6"/>
      <c r="D549" s="16"/>
      <c r="E549" s="16"/>
      <c r="F549" s="16"/>
      <c r="G549" s="1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6"/>
      <c r="D550" s="16"/>
      <c r="E550" s="16"/>
      <c r="F550" s="16"/>
      <c r="G550" s="1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6"/>
      <c r="D551" s="16"/>
      <c r="E551" s="16"/>
      <c r="F551" s="16"/>
      <c r="G551" s="1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6"/>
      <c r="D552" s="16"/>
      <c r="E552" s="16"/>
      <c r="F552" s="16"/>
      <c r="G552" s="1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6"/>
      <c r="D553" s="16"/>
      <c r="E553" s="16"/>
      <c r="F553" s="16"/>
      <c r="G553" s="1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6"/>
      <c r="D554" s="16"/>
      <c r="E554" s="16"/>
      <c r="F554" s="16"/>
      <c r="G554" s="1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6"/>
      <c r="D555" s="16"/>
      <c r="E555" s="16"/>
      <c r="F555" s="16"/>
      <c r="G555" s="1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6"/>
      <c r="D556" s="16"/>
      <c r="E556" s="16"/>
      <c r="F556" s="16"/>
      <c r="G556" s="1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6"/>
      <c r="D557" s="16"/>
      <c r="E557" s="16"/>
      <c r="F557" s="16"/>
      <c r="G557" s="1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6"/>
      <c r="D558" s="16"/>
      <c r="E558" s="16"/>
      <c r="F558" s="16"/>
      <c r="G558" s="1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6"/>
      <c r="D559" s="16"/>
      <c r="E559" s="16"/>
      <c r="F559" s="16"/>
      <c r="G559" s="1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6"/>
      <c r="D560" s="16"/>
      <c r="E560" s="16"/>
      <c r="F560" s="16"/>
      <c r="G560" s="1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6"/>
      <c r="D561" s="16"/>
      <c r="E561" s="16"/>
      <c r="F561" s="16"/>
      <c r="G561" s="1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6"/>
      <c r="D562" s="16"/>
      <c r="E562" s="16"/>
      <c r="F562" s="16"/>
      <c r="G562" s="1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6"/>
      <c r="D563" s="16"/>
      <c r="E563" s="16"/>
      <c r="F563" s="16"/>
      <c r="G563" s="1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6"/>
      <c r="D564" s="16"/>
      <c r="E564" s="16"/>
      <c r="F564" s="16"/>
      <c r="G564" s="1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6"/>
      <c r="D565" s="16"/>
      <c r="E565" s="16"/>
      <c r="F565" s="16"/>
      <c r="G565" s="1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6"/>
      <c r="D566" s="16"/>
      <c r="E566" s="16"/>
      <c r="F566" s="16"/>
      <c r="G566" s="1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6"/>
      <c r="D567" s="16"/>
      <c r="E567" s="16"/>
      <c r="F567" s="16"/>
      <c r="G567" s="1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6"/>
      <c r="D568" s="16"/>
      <c r="E568" s="16"/>
      <c r="F568" s="16"/>
      <c r="G568" s="1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6"/>
      <c r="D569" s="16"/>
      <c r="E569" s="16"/>
      <c r="F569" s="16"/>
      <c r="G569" s="1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6"/>
      <c r="D570" s="16"/>
      <c r="E570" s="16"/>
      <c r="F570" s="16"/>
      <c r="G570" s="1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6"/>
      <c r="D571" s="16"/>
      <c r="E571" s="16"/>
      <c r="F571" s="16"/>
      <c r="G571" s="1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6"/>
      <c r="D572" s="16"/>
      <c r="E572" s="16"/>
      <c r="F572" s="16"/>
      <c r="G572" s="1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6"/>
      <c r="D573" s="16"/>
      <c r="E573" s="16"/>
      <c r="F573" s="16"/>
      <c r="G573" s="1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6"/>
      <c r="D574" s="16"/>
      <c r="E574" s="16"/>
      <c r="F574" s="16"/>
      <c r="G574" s="1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6"/>
      <c r="D575" s="16"/>
      <c r="E575" s="16"/>
      <c r="F575" s="16"/>
      <c r="G575" s="1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6"/>
      <c r="D576" s="16"/>
      <c r="E576" s="16"/>
      <c r="F576" s="16"/>
      <c r="G576" s="1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6"/>
      <c r="D577" s="16"/>
      <c r="E577" s="16"/>
      <c r="F577" s="16"/>
      <c r="G577" s="1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6"/>
      <c r="D578" s="16"/>
      <c r="E578" s="16"/>
      <c r="F578" s="16"/>
      <c r="G578" s="1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6"/>
      <c r="D579" s="16"/>
      <c r="E579" s="16"/>
      <c r="F579" s="16"/>
      <c r="G579" s="1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6"/>
      <c r="D580" s="16"/>
      <c r="E580" s="16"/>
      <c r="F580" s="16"/>
      <c r="G580" s="1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6"/>
      <c r="D581" s="16"/>
      <c r="E581" s="16"/>
      <c r="F581" s="16"/>
      <c r="G581" s="1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6"/>
      <c r="D582" s="16"/>
      <c r="E582" s="16"/>
      <c r="F582" s="16"/>
      <c r="G582" s="1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6"/>
      <c r="D583" s="16"/>
      <c r="E583" s="16"/>
      <c r="F583" s="16"/>
      <c r="G583" s="1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6"/>
      <c r="D584" s="16"/>
      <c r="E584" s="16"/>
      <c r="F584" s="16"/>
      <c r="G584" s="1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6"/>
      <c r="D585" s="16"/>
      <c r="E585" s="16"/>
      <c r="F585" s="16"/>
      <c r="G585" s="1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6"/>
      <c r="D586" s="16"/>
      <c r="E586" s="16"/>
      <c r="F586" s="16"/>
      <c r="G586" s="1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6"/>
      <c r="D587" s="16"/>
      <c r="E587" s="16"/>
      <c r="F587" s="16"/>
      <c r="G587" s="1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6"/>
      <c r="D588" s="16"/>
      <c r="E588" s="16"/>
      <c r="F588" s="16"/>
      <c r="G588" s="1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6"/>
      <c r="D589" s="16"/>
      <c r="E589" s="16"/>
      <c r="F589" s="16"/>
      <c r="G589" s="1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6"/>
      <c r="D590" s="16"/>
      <c r="E590" s="16"/>
      <c r="F590" s="16"/>
      <c r="G590" s="1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6"/>
      <c r="D591" s="16"/>
      <c r="E591" s="16"/>
      <c r="F591" s="16"/>
      <c r="G591" s="1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6"/>
      <c r="D592" s="16"/>
      <c r="E592" s="16"/>
      <c r="F592" s="16"/>
      <c r="G592" s="1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6"/>
      <c r="D593" s="16"/>
      <c r="E593" s="16"/>
      <c r="F593" s="16"/>
      <c r="G593" s="1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6"/>
      <c r="D594" s="16"/>
      <c r="E594" s="16"/>
      <c r="F594" s="16"/>
      <c r="G594" s="1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6"/>
      <c r="D595" s="16"/>
      <c r="E595" s="16"/>
      <c r="F595" s="16"/>
      <c r="G595" s="1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6"/>
      <c r="D596" s="16"/>
      <c r="E596" s="16"/>
      <c r="F596" s="16"/>
      <c r="G596" s="1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6"/>
      <c r="D597" s="16"/>
      <c r="E597" s="16"/>
      <c r="F597" s="16"/>
      <c r="G597" s="1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6"/>
      <c r="D598" s="16"/>
      <c r="E598" s="16"/>
      <c r="F598" s="16"/>
      <c r="G598" s="1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6"/>
      <c r="D599" s="16"/>
      <c r="E599" s="16"/>
      <c r="F599" s="16"/>
      <c r="G599" s="1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6"/>
      <c r="D600" s="16"/>
      <c r="E600" s="16"/>
      <c r="F600" s="16"/>
      <c r="G600" s="1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6"/>
      <c r="D601" s="16"/>
      <c r="E601" s="16"/>
      <c r="F601" s="16"/>
      <c r="G601" s="1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6"/>
      <c r="D602" s="16"/>
      <c r="E602" s="16"/>
      <c r="F602" s="16"/>
      <c r="G602" s="1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6"/>
      <c r="D603" s="16"/>
      <c r="E603" s="16"/>
      <c r="F603" s="16"/>
      <c r="G603" s="1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6"/>
      <c r="D604" s="16"/>
      <c r="E604" s="16"/>
      <c r="F604" s="16"/>
      <c r="G604" s="1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6"/>
      <c r="D605" s="16"/>
      <c r="E605" s="16"/>
      <c r="F605" s="16"/>
      <c r="G605" s="1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6"/>
      <c r="D606" s="16"/>
      <c r="E606" s="16"/>
      <c r="F606" s="16"/>
      <c r="G606" s="1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6"/>
      <c r="D607" s="16"/>
      <c r="E607" s="16"/>
      <c r="F607" s="16"/>
      <c r="G607" s="1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6"/>
      <c r="D608" s="16"/>
      <c r="E608" s="16"/>
      <c r="F608" s="16"/>
      <c r="G608" s="1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6"/>
      <c r="D609" s="16"/>
      <c r="E609" s="16"/>
      <c r="F609" s="16"/>
      <c r="G609" s="1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6"/>
      <c r="D610" s="16"/>
      <c r="E610" s="16"/>
      <c r="F610" s="16"/>
      <c r="G610" s="1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6"/>
      <c r="D611" s="16"/>
      <c r="E611" s="16"/>
      <c r="F611" s="16"/>
      <c r="G611" s="1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6"/>
      <c r="D612" s="16"/>
      <c r="E612" s="16"/>
      <c r="F612" s="16"/>
      <c r="G612" s="1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6"/>
      <c r="D613" s="16"/>
      <c r="E613" s="16"/>
      <c r="F613" s="16"/>
      <c r="G613" s="1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6"/>
      <c r="D614" s="16"/>
      <c r="E614" s="16"/>
      <c r="F614" s="16"/>
      <c r="G614" s="1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6"/>
      <c r="D615" s="16"/>
      <c r="E615" s="16"/>
      <c r="F615" s="16"/>
      <c r="G615" s="1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6"/>
      <c r="D616" s="16"/>
      <c r="E616" s="16"/>
      <c r="F616" s="16"/>
      <c r="G616" s="1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6"/>
      <c r="D617" s="16"/>
      <c r="E617" s="16"/>
      <c r="F617" s="16"/>
      <c r="G617" s="1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6"/>
      <c r="D618" s="16"/>
      <c r="E618" s="16"/>
      <c r="F618" s="16"/>
      <c r="G618" s="1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6"/>
      <c r="D619" s="16"/>
      <c r="E619" s="16"/>
      <c r="F619" s="16"/>
      <c r="G619" s="1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6"/>
      <c r="D620" s="16"/>
      <c r="E620" s="16"/>
      <c r="F620" s="16"/>
      <c r="G620" s="1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6"/>
      <c r="D621" s="16"/>
      <c r="E621" s="16"/>
      <c r="F621" s="16"/>
      <c r="G621" s="1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6"/>
      <c r="D622" s="16"/>
      <c r="E622" s="16"/>
      <c r="F622" s="16"/>
      <c r="G622" s="1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6"/>
      <c r="D623" s="16"/>
      <c r="E623" s="16"/>
      <c r="F623" s="16"/>
      <c r="G623" s="1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6"/>
      <c r="D624" s="16"/>
      <c r="E624" s="16"/>
      <c r="F624" s="16"/>
      <c r="G624" s="1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6"/>
      <c r="D625" s="16"/>
      <c r="E625" s="16"/>
      <c r="F625" s="16"/>
      <c r="G625" s="1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6"/>
      <c r="D626" s="16"/>
      <c r="E626" s="16"/>
      <c r="F626" s="16"/>
      <c r="G626" s="1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6"/>
      <c r="D627" s="16"/>
      <c r="E627" s="16"/>
      <c r="F627" s="16"/>
      <c r="G627" s="1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6"/>
      <c r="D628" s="16"/>
      <c r="E628" s="16"/>
      <c r="F628" s="16"/>
      <c r="G628" s="1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6"/>
      <c r="D629" s="16"/>
      <c r="E629" s="16"/>
      <c r="F629" s="16"/>
      <c r="G629" s="1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6"/>
      <c r="D630" s="16"/>
      <c r="E630" s="16"/>
      <c r="F630" s="16"/>
      <c r="G630" s="1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6"/>
      <c r="D631" s="16"/>
      <c r="E631" s="16"/>
      <c r="F631" s="16"/>
      <c r="G631" s="1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6"/>
      <c r="D632" s="16"/>
      <c r="E632" s="16"/>
      <c r="F632" s="16"/>
      <c r="G632" s="1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6"/>
      <c r="D633" s="16"/>
      <c r="E633" s="16"/>
      <c r="F633" s="16"/>
      <c r="G633" s="1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6"/>
      <c r="D634" s="16"/>
      <c r="E634" s="16"/>
      <c r="F634" s="16"/>
      <c r="G634" s="1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6"/>
      <c r="D635" s="16"/>
      <c r="E635" s="16"/>
      <c r="F635" s="16"/>
      <c r="G635" s="1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6"/>
      <c r="D636" s="16"/>
      <c r="E636" s="16"/>
      <c r="F636" s="16"/>
      <c r="G636" s="1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6"/>
      <c r="D637" s="16"/>
      <c r="E637" s="16"/>
      <c r="F637" s="16"/>
      <c r="G637" s="1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6"/>
      <c r="D638" s="16"/>
      <c r="E638" s="16"/>
      <c r="F638" s="16"/>
      <c r="G638" s="1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6"/>
      <c r="D639" s="16"/>
      <c r="E639" s="16"/>
      <c r="F639" s="16"/>
      <c r="G639" s="1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6"/>
      <c r="D640" s="16"/>
      <c r="E640" s="16"/>
      <c r="F640" s="16"/>
      <c r="G640" s="1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6"/>
      <c r="D641" s="16"/>
      <c r="E641" s="16"/>
      <c r="F641" s="16"/>
      <c r="G641" s="1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6"/>
      <c r="D642" s="16"/>
      <c r="E642" s="16"/>
      <c r="F642" s="16"/>
      <c r="G642" s="1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6"/>
      <c r="D643" s="16"/>
      <c r="E643" s="16"/>
      <c r="F643" s="16"/>
      <c r="G643" s="1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6"/>
      <c r="D644" s="16"/>
      <c r="E644" s="16"/>
      <c r="F644" s="16"/>
      <c r="G644" s="1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6"/>
      <c r="D645" s="16"/>
      <c r="E645" s="16"/>
      <c r="F645" s="16"/>
      <c r="G645" s="1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6"/>
      <c r="D646" s="16"/>
      <c r="E646" s="16"/>
      <c r="F646" s="16"/>
      <c r="G646" s="1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6"/>
      <c r="D647" s="16"/>
      <c r="E647" s="16"/>
      <c r="F647" s="16"/>
      <c r="G647" s="1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6"/>
      <c r="D648" s="16"/>
      <c r="E648" s="16"/>
      <c r="F648" s="16"/>
      <c r="G648" s="1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6"/>
      <c r="D649" s="16"/>
      <c r="E649" s="16"/>
      <c r="F649" s="16"/>
      <c r="G649" s="1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6"/>
      <c r="D650" s="16"/>
      <c r="E650" s="16"/>
      <c r="F650" s="16"/>
      <c r="G650" s="1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6"/>
      <c r="D651" s="16"/>
      <c r="E651" s="16"/>
      <c r="F651" s="16"/>
      <c r="G651" s="1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6"/>
      <c r="D652" s="16"/>
      <c r="E652" s="16"/>
      <c r="F652" s="16"/>
      <c r="G652" s="1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6"/>
      <c r="D653" s="16"/>
      <c r="E653" s="16"/>
      <c r="F653" s="16"/>
      <c r="G653" s="1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6"/>
      <c r="D654" s="16"/>
      <c r="E654" s="16"/>
      <c r="F654" s="16"/>
      <c r="G654" s="1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6"/>
      <c r="D655" s="16"/>
      <c r="E655" s="16"/>
      <c r="F655" s="16"/>
      <c r="G655" s="1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6"/>
      <c r="D656" s="16"/>
      <c r="E656" s="16"/>
      <c r="F656" s="16"/>
      <c r="G656" s="1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6"/>
      <c r="D657" s="16"/>
      <c r="E657" s="16"/>
      <c r="F657" s="16"/>
      <c r="G657" s="1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6"/>
      <c r="D658" s="16"/>
      <c r="E658" s="16"/>
      <c r="F658" s="16"/>
      <c r="G658" s="1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6"/>
      <c r="D659" s="16"/>
      <c r="E659" s="16"/>
      <c r="F659" s="16"/>
      <c r="G659" s="1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6"/>
      <c r="D660" s="16"/>
      <c r="E660" s="16"/>
      <c r="F660" s="16"/>
      <c r="G660" s="1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6"/>
      <c r="D661" s="16"/>
      <c r="E661" s="16"/>
      <c r="F661" s="16"/>
      <c r="G661" s="1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6"/>
      <c r="D662" s="16"/>
      <c r="E662" s="16"/>
      <c r="F662" s="16"/>
      <c r="G662" s="1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6"/>
      <c r="D663" s="16"/>
      <c r="E663" s="16"/>
      <c r="F663" s="16"/>
      <c r="G663" s="1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6"/>
      <c r="D664" s="16"/>
      <c r="E664" s="16"/>
      <c r="F664" s="16"/>
      <c r="G664" s="1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6"/>
      <c r="D665" s="16"/>
      <c r="E665" s="16"/>
      <c r="F665" s="16"/>
      <c r="G665" s="1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6"/>
      <c r="D666" s="16"/>
      <c r="E666" s="16"/>
      <c r="F666" s="16"/>
      <c r="G666" s="1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6"/>
      <c r="D667" s="16"/>
      <c r="E667" s="16"/>
      <c r="F667" s="16"/>
      <c r="G667" s="1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6"/>
      <c r="D668" s="16"/>
      <c r="E668" s="16"/>
      <c r="F668" s="16"/>
      <c r="G668" s="1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6"/>
      <c r="D669" s="16"/>
      <c r="E669" s="16"/>
      <c r="F669" s="16"/>
      <c r="G669" s="1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6"/>
      <c r="D670" s="16"/>
      <c r="E670" s="16"/>
      <c r="F670" s="16"/>
      <c r="G670" s="1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6"/>
      <c r="D671" s="16"/>
      <c r="E671" s="16"/>
      <c r="F671" s="16"/>
      <c r="G671" s="1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6"/>
      <c r="D672" s="16"/>
      <c r="E672" s="16"/>
      <c r="F672" s="16"/>
      <c r="G672" s="1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6"/>
      <c r="D673" s="16"/>
      <c r="E673" s="16"/>
      <c r="F673" s="16"/>
      <c r="G673" s="1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6"/>
      <c r="D674" s="16"/>
      <c r="E674" s="16"/>
      <c r="F674" s="16"/>
      <c r="G674" s="1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6"/>
      <c r="D675" s="16"/>
      <c r="E675" s="16"/>
      <c r="F675" s="16"/>
      <c r="G675" s="1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6"/>
      <c r="D676" s="16"/>
      <c r="E676" s="16"/>
      <c r="F676" s="16"/>
      <c r="G676" s="1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6"/>
      <c r="D677" s="16"/>
      <c r="E677" s="16"/>
      <c r="F677" s="16"/>
      <c r="G677" s="1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6"/>
      <c r="D678" s="16"/>
      <c r="E678" s="16"/>
      <c r="F678" s="16"/>
      <c r="G678" s="1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6"/>
      <c r="D679" s="16"/>
      <c r="E679" s="16"/>
      <c r="F679" s="16"/>
      <c r="G679" s="1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6"/>
      <c r="D680" s="16"/>
      <c r="E680" s="16"/>
      <c r="F680" s="16"/>
      <c r="G680" s="1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6"/>
      <c r="D681" s="16"/>
      <c r="E681" s="16"/>
      <c r="F681" s="16"/>
      <c r="G681" s="1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6"/>
      <c r="D682" s="16"/>
      <c r="E682" s="16"/>
      <c r="F682" s="16"/>
      <c r="G682" s="1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6"/>
      <c r="D683" s="16"/>
      <c r="E683" s="16"/>
      <c r="F683" s="16"/>
      <c r="G683" s="1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6"/>
      <c r="D684" s="16"/>
      <c r="E684" s="16"/>
      <c r="F684" s="16"/>
      <c r="G684" s="1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6"/>
      <c r="D685" s="16"/>
      <c r="E685" s="16"/>
      <c r="F685" s="16"/>
      <c r="G685" s="1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6"/>
      <c r="D686" s="16"/>
      <c r="E686" s="16"/>
      <c r="F686" s="16"/>
      <c r="G686" s="1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6"/>
      <c r="D687" s="16"/>
      <c r="E687" s="16"/>
      <c r="F687" s="16"/>
      <c r="G687" s="1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6"/>
      <c r="D688" s="16"/>
      <c r="E688" s="16"/>
      <c r="F688" s="16"/>
      <c r="G688" s="1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6"/>
      <c r="D689" s="16"/>
      <c r="E689" s="16"/>
      <c r="F689" s="16"/>
      <c r="G689" s="1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6"/>
      <c r="D690" s="16"/>
      <c r="E690" s="16"/>
      <c r="F690" s="16"/>
      <c r="G690" s="1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6"/>
      <c r="D691" s="16"/>
      <c r="E691" s="16"/>
      <c r="F691" s="16"/>
      <c r="G691" s="1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6"/>
      <c r="D692" s="16"/>
      <c r="E692" s="16"/>
      <c r="F692" s="16"/>
      <c r="G692" s="1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6"/>
      <c r="D693" s="16"/>
      <c r="E693" s="16"/>
      <c r="F693" s="16"/>
      <c r="G693" s="1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6"/>
      <c r="D694" s="16"/>
      <c r="E694" s="16"/>
      <c r="F694" s="16"/>
      <c r="G694" s="1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6"/>
      <c r="D695" s="16"/>
      <c r="E695" s="16"/>
      <c r="F695" s="16"/>
      <c r="G695" s="1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6"/>
      <c r="D696" s="16"/>
      <c r="E696" s="16"/>
      <c r="F696" s="16"/>
      <c r="G696" s="1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6"/>
      <c r="D697" s="16"/>
      <c r="E697" s="16"/>
      <c r="F697" s="16"/>
      <c r="G697" s="1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6"/>
      <c r="D698" s="16"/>
      <c r="E698" s="16"/>
      <c r="F698" s="16"/>
      <c r="G698" s="1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6"/>
      <c r="D699" s="16"/>
      <c r="E699" s="16"/>
      <c r="F699" s="16"/>
      <c r="G699" s="1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6"/>
      <c r="D700" s="16"/>
      <c r="E700" s="16"/>
      <c r="F700" s="16"/>
      <c r="G700" s="1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6"/>
      <c r="D701" s="16"/>
      <c r="E701" s="16"/>
      <c r="F701" s="16"/>
      <c r="G701" s="1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6"/>
      <c r="D702" s="16"/>
      <c r="E702" s="16"/>
      <c r="F702" s="16"/>
      <c r="G702" s="1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6"/>
      <c r="D703" s="16"/>
      <c r="E703" s="16"/>
      <c r="F703" s="16"/>
      <c r="G703" s="1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6"/>
      <c r="D704" s="16"/>
      <c r="E704" s="16"/>
      <c r="F704" s="16"/>
      <c r="G704" s="1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6"/>
      <c r="D705" s="16"/>
      <c r="E705" s="16"/>
      <c r="F705" s="16"/>
      <c r="G705" s="1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6"/>
      <c r="D706" s="16"/>
      <c r="E706" s="16"/>
      <c r="F706" s="16"/>
      <c r="G706" s="1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6"/>
      <c r="D707" s="16"/>
      <c r="E707" s="16"/>
      <c r="F707" s="16"/>
      <c r="G707" s="1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6"/>
      <c r="D708" s="16"/>
      <c r="E708" s="16"/>
      <c r="F708" s="16"/>
      <c r="G708" s="1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6"/>
      <c r="D709" s="16"/>
      <c r="E709" s="16"/>
      <c r="F709" s="16"/>
      <c r="G709" s="1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6"/>
      <c r="D710" s="16"/>
      <c r="E710" s="16"/>
      <c r="F710" s="16"/>
      <c r="G710" s="1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6"/>
      <c r="D711" s="16"/>
      <c r="E711" s="16"/>
      <c r="F711" s="16"/>
      <c r="G711" s="1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6"/>
      <c r="D712" s="16"/>
      <c r="E712" s="16"/>
      <c r="F712" s="16"/>
      <c r="G712" s="1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6"/>
      <c r="D713" s="16"/>
      <c r="E713" s="16"/>
      <c r="F713" s="16"/>
      <c r="G713" s="1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6"/>
      <c r="D714" s="16"/>
      <c r="E714" s="16"/>
      <c r="F714" s="16"/>
      <c r="G714" s="1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6"/>
      <c r="D715" s="16"/>
      <c r="E715" s="16"/>
      <c r="F715" s="16"/>
      <c r="G715" s="1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6"/>
      <c r="D716" s="16"/>
      <c r="E716" s="16"/>
      <c r="F716" s="16"/>
      <c r="G716" s="1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6"/>
      <c r="D717" s="16"/>
      <c r="E717" s="16"/>
      <c r="F717" s="16"/>
      <c r="G717" s="1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6"/>
      <c r="D718" s="16"/>
      <c r="E718" s="16"/>
      <c r="F718" s="16"/>
      <c r="G718" s="1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6"/>
      <c r="D719" s="16"/>
      <c r="E719" s="16"/>
      <c r="F719" s="16"/>
      <c r="G719" s="1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6"/>
      <c r="D720" s="16"/>
      <c r="E720" s="16"/>
      <c r="F720" s="16"/>
      <c r="G720" s="1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6"/>
      <c r="D721" s="16"/>
      <c r="E721" s="16"/>
      <c r="F721" s="16"/>
      <c r="G721" s="1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6"/>
      <c r="D722" s="16"/>
      <c r="E722" s="16"/>
      <c r="F722" s="16"/>
      <c r="G722" s="1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6"/>
      <c r="D723" s="16"/>
      <c r="E723" s="16"/>
      <c r="F723" s="16"/>
      <c r="G723" s="1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6"/>
      <c r="D724" s="16"/>
      <c r="E724" s="16"/>
      <c r="F724" s="16"/>
      <c r="G724" s="1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6"/>
      <c r="D725" s="16"/>
      <c r="E725" s="16"/>
      <c r="F725" s="16"/>
      <c r="G725" s="1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6"/>
      <c r="D726" s="16"/>
      <c r="E726" s="16"/>
      <c r="F726" s="16"/>
      <c r="G726" s="1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6"/>
      <c r="D727" s="16"/>
      <c r="E727" s="16"/>
      <c r="F727" s="16"/>
      <c r="G727" s="1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6"/>
      <c r="D728" s="16"/>
      <c r="E728" s="16"/>
      <c r="F728" s="16"/>
      <c r="G728" s="1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6"/>
      <c r="D729" s="16"/>
      <c r="E729" s="16"/>
      <c r="F729" s="16"/>
      <c r="G729" s="1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6"/>
      <c r="D730" s="16"/>
      <c r="E730" s="16"/>
      <c r="F730" s="16"/>
      <c r="G730" s="1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6"/>
      <c r="D731" s="16"/>
      <c r="E731" s="16"/>
      <c r="F731" s="16"/>
      <c r="G731" s="1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6"/>
      <c r="D732" s="16"/>
      <c r="E732" s="16"/>
      <c r="F732" s="16"/>
      <c r="G732" s="1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6"/>
      <c r="D733" s="16"/>
      <c r="E733" s="16"/>
      <c r="F733" s="16"/>
      <c r="G733" s="1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6"/>
      <c r="D734" s="16"/>
      <c r="E734" s="16"/>
      <c r="F734" s="16"/>
      <c r="G734" s="1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6"/>
      <c r="D735" s="16"/>
      <c r="E735" s="16"/>
      <c r="F735" s="16"/>
      <c r="G735" s="1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6"/>
      <c r="D736" s="16"/>
      <c r="E736" s="16"/>
      <c r="F736" s="16"/>
      <c r="G736" s="1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6"/>
      <c r="D737" s="16"/>
      <c r="E737" s="16"/>
      <c r="F737" s="16"/>
      <c r="G737" s="1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6"/>
      <c r="D738" s="16"/>
      <c r="E738" s="16"/>
      <c r="F738" s="16"/>
      <c r="G738" s="1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6"/>
      <c r="D739" s="16"/>
      <c r="E739" s="16"/>
      <c r="F739" s="16"/>
      <c r="G739" s="1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6"/>
      <c r="D740" s="16"/>
      <c r="E740" s="16"/>
      <c r="F740" s="16"/>
      <c r="G740" s="1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6"/>
      <c r="D741" s="16"/>
      <c r="E741" s="16"/>
      <c r="F741" s="16"/>
      <c r="G741" s="1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6"/>
      <c r="D742" s="16"/>
      <c r="E742" s="16"/>
      <c r="F742" s="16"/>
      <c r="G742" s="1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6"/>
      <c r="D743" s="16"/>
      <c r="E743" s="16"/>
      <c r="F743" s="16"/>
      <c r="G743" s="1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6"/>
      <c r="D744" s="16"/>
      <c r="E744" s="16"/>
      <c r="F744" s="16"/>
      <c r="G744" s="1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6"/>
      <c r="D745" s="16"/>
      <c r="E745" s="16"/>
      <c r="F745" s="16"/>
      <c r="G745" s="1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6"/>
      <c r="D746" s="16"/>
      <c r="E746" s="16"/>
      <c r="F746" s="16"/>
      <c r="G746" s="1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6"/>
      <c r="D747" s="16"/>
      <c r="E747" s="16"/>
      <c r="F747" s="16"/>
      <c r="G747" s="1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6"/>
      <c r="D748" s="16"/>
      <c r="E748" s="16"/>
      <c r="F748" s="16"/>
      <c r="G748" s="1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6"/>
      <c r="D749" s="16"/>
      <c r="E749" s="16"/>
      <c r="F749" s="16"/>
      <c r="G749" s="1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6"/>
      <c r="D750" s="16"/>
      <c r="E750" s="16"/>
      <c r="F750" s="16"/>
      <c r="G750" s="1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6"/>
      <c r="D751" s="16"/>
      <c r="E751" s="16"/>
      <c r="F751" s="16"/>
      <c r="G751" s="1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6"/>
      <c r="D752" s="16"/>
      <c r="E752" s="16"/>
      <c r="F752" s="16"/>
      <c r="G752" s="1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6"/>
      <c r="D753" s="16"/>
      <c r="E753" s="16"/>
      <c r="F753" s="16"/>
      <c r="G753" s="1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6"/>
      <c r="D754" s="16"/>
      <c r="E754" s="16"/>
      <c r="F754" s="16"/>
      <c r="G754" s="1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6"/>
      <c r="D755" s="16"/>
      <c r="E755" s="16"/>
      <c r="F755" s="16"/>
      <c r="G755" s="1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6"/>
      <c r="D756" s="16"/>
      <c r="E756" s="16"/>
      <c r="F756" s="16"/>
      <c r="G756" s="1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6"/>
      <c r="D757" s="16"/>
      <c r="E757" s="16"/>
      <c r="F757" s="16"/>
      <c r="G757" s="1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6"/>
      <c r="D758" s="16"/>
      <c r="E758" s="16"/>
      <c r="F758" s="16"/>
      <c r="G758" s="1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6"/>
      <c r="D759" s="16"/>
      <c r="E759" s="16"/>
      <c r="F759" s="16"/>
      <c r="G759" s="1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6"/>
      <c r="D760" s="16"/>
      <c r="E760" s="16"/>
      <c r="F760" s="16"/>
      <c r="G760" s="1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6"/>
      <c r="D761" s="16"/>
      <c r="E761" s="16"/>
      <c r="F761" s="16"/>
      <c r="G761" s="1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6"/>
      <c r="D762" s="16"/>
      <c r="E762" s="16"/>
      <c r="F762" s="16"/>
      <c r="G762" s="1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6"/>
      <c r="D763" s="16"/>
      <c r="E763" s="16"/>
      <c r="F763" s="16"/>
      <c r="G763" s="1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6"/>
      <c r="D764" s="16"/>
      <c r="E764" s="16"/>
      <c r="F764" s="16"/>
      <c r="G764" s="1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6"/>
      <c r="D765" s="16"/>
      <c r="E765" s="16"/>
      <c r="F765" s="16"/>
      <c r="G765" s="1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6"/>
      <c r="D766" s="16"/>
      <c r="E766" s="16"/>
      <c r="F766" s="16"/>
      <c r="G766" s="1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6"/>
      <c r="D767" s="16"/>
      <c r="E767" s="16"/>
      <c r="F767" s="16"/>
      <c r="G767" s="1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6"/>
      <c r="D768" s="16"/>
      <c r="E768" s="16"/>
      <c r="F768" s="16"/>
      <c r="G768" s="1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6"/>
      <c r="D769" s="16"/>
      <c r="E769" s="16"/>
      <c r="F769" s="16"/>
      <c r="G769" s="1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6"/>
      <c r="D770" s="16"/>
      <c r="E770" s="16"/>
      <c r="F770" s="16"/>
      <c r="G770" s="1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6"/>
      <c r="D771" s="16"/>
      <c r="E771" s="16"/>
      <c r="F771" s="16"/>
      <c r="G771" s="1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6"/>
      <c r="D772" s="16"/>
      <c r="E772" s="16"/>
      <c r="F772" s="16"/>
      <c r="G772" s="1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6"/>
      <c r="D773" s="16"/>
      <c r="E773" s="16"/>
      <c r="F773" s="16"/>
      <c r="G773" s="1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6"/>
      <c r="D774" s="16"/>
      <c r="E774" s="16"/>
      <c r="F774" s="16"/>
      <c r="G774" s="1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6"/>
      <c r="D775" s="16"/>
      <c r="E775" s="16"/>
      <c r="F775" s="16"/>
      <c r="G775" s="1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6"/>
      <c r="D776" s="16"/>
      <c r="E776" s="16"/>
      <c r="F776" s="16"/>
      <c r="G776" s="1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6"/>
      <c r="D777" s="16"/>
      <c r="E777" s="16"/>
      <c r="F777" s="16"/>
      <c r="G777" s="1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6"/>
      <c r="D778" s="16"/>
      <c r="E778" s="16"/>
      <c r="F778" s="16"/>
      <c r="G778" s="1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6"/>
      <c r="D779" s="16"/>
      <c r="E779" s="16"/>
      <c r="F779" s="16"/>
      <c r="G779" s="1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6"/>
      <c r="D780" s="16"/>
      <c r="E780" s="16"/>
      <c r="F780" s="16"/>
      <c r="G780" s="1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6"/>
      <c r="D781" s="16"/>
      <c r="E781" s="16"/>
      <c r="F781" s="16"/>
      <c r="G781" s="1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6"/>
      <c r="D782" s="16"/>
      <c r="E782" s="16"/>
      <c r="F782" s="16"/>
      <c r="G782" s="1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6"/>
      <c r="D783" s="16"/>
      <c r="E783" s="16"/>
      <c r="F783" s="16"/>
      <c r="G783" s="1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6"/>
      <c r="D784" s="16"/>
      <c r="E784" s="16"/>
      <c r="F784" s="16"/>
      <c r="G784" s="1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6"/>
      <c r="D785" s="16"/>
      <c r="E785" s="16"/>
      <c r="F785" s="16"/>
      <c r="G785" s="1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6"/>
      <c r="D786" s="16"/>
      <c r="E786" s="16"/>
      <c r="F786" s="16"/>
      <c r="G786" s="1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6"/>
      <c r="D787" s="16"/>
      <c r="E787" s="16"/>
      <c r="F787" s="16"/>
      <c r="G787" s="1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6"/>
      <c r="D788" s="16"/>
      <c r="E788" s="16"/>
      <c r="F788" s="16"/>
      <c r="G788" s="1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6"/>
      <c r="D789" s="16"/>
      <c r="E789" s="16"/>
      <c r="F789" s="16"/>
      <c r="G789" s="1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6"/>
      <c r="D790" s="16"/>
      <c r="E790" s="16"/>
      <c r="F790" s="16"/>
      <c r="G790" s="1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6"/>
      <c r="D791" s="16"/>
      <c r="E791" s="16"/>
      <c r="F791" s="16"/>
      <c r="G791" s="1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6"/>
      <c r="D792" s="16"/>
      <c r="E792" s="16"/>
      <c r="F792" s="16"/>
      <c r="G792" s="1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6"/>
      <c r="D793" s="16"/>
      <c r="E793" s="16"/>
      <c r="F793" s="16"/>
      <c r="G793" s="1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6"/>
      <c r="D794" s="16"/>
      <c r="E794" s="16"/>
      <c r="F794" s="16"/>
      <c r="G794" s="1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6"/>
      <c r="D795" s="16"/>
      <c r="E795" s="16"/>
      <c r="F795" s="16"/>
      <c r="G795" s="1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6"/>
      <c r="D796" s="16"/>
      <c r="E796" s="16"/>
      <c r="F796" s="16"/>
      <c r="G796" s="1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6"/>
      <c r="D797" s="16"/>
      <c r="E797" s="16"/>
      <c r="F797" s="16"/>
      <c r="G797" s="1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6"/>
      <c r="D798" s="16"/>
      <c r="E798" s="16"/>
      <c r="F798" s="16"/>
      <c r="G798" s="1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6"/>
      <c r="D799" s="16"/>
      <c r="E799" s="16"/>
      <c r="F799" s="16"/>
      <c r="G799" s="1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6"/>
      <c r="D800" s="16"/>
      <c r="E800" s="16"/>
      <c r="F800" s="16"/>
      <c r="G800" s="1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6"/>
      <c r="D801" s="16"/>
      <c r="E801" s="16"/>
      <c r="F801" s="16"/>
      <c r="G801" s="1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6"/>
      <c r="D802" s="16"/>
      <c r="E802" s="16"/>
      <c r="F802" s="16"/>
      <c r="G802" s="1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6"/>
      <c r="D803" s="16"/>
      <c r="E803" s="16"/>
      <c r="F803" s="16"/>
      <c r="G803" s="1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6"/>
      <c r="D804" s="16"/>
      <c r="E804" s="16"/>
      <c r="F804" s="16"/>
      <c r="G804" s="1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6"/>
      <c r="D805" s="16"/>
      <c r="E805" s="16"/>
      <c r="F805" s="16"/>
      <c r="G805" s="1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6"/>
      <c r="D806" s="16"/>
      <c r="E806" s="16"/>
      <c r="F806" s="16"/>
      <c r="G806" s="1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6"/>
      <c r="D807" s="16"/>
      <c r="E807" s="16"/>
      <c r="F807" s="16"/>
      <c r="G807" s="1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6"/>
      <c r="D808" s="16"/>
      <c r="E808" s="16"/>
      <c r="F808" s="16"/>
      <c r="G808" s="1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6"/>
      <c r="D809" s="16"/>
      <c r="E809" s="16"/>
      <c r="F809" s="16"/>
      <c r="G809" s="1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6"/>
      <c r="D810" s="16"/>
      <c r="E810" s="16"/>
      <c r="F810" s="16"/>
      <c r="G810" s="1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6"/>
      <c r="D811" s="16"/>
      <c r="E811" s="16"/>
      <c r="F811" s="16"/>
      <c r="G811" s="1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6"/>
      <c r="D812" s="16"/>
      <c r="E812" s="16"/>
      <c r="F812" s="16"/>
      <c r="G812" s="1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6"/>
      <c r="D813" s="16"/>
      <c r="E813" s="16"/>
      <c r="F813" s="16"/>
      <c r="G813" s="1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6"/>
      <c r="D814" s="16"/>
      <c r="E814" s="16"/>
      <c r="F814" s="16"/>
      <c r="G814" s="1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6"/>
      <c r="D815" s="16"/>
      <c r="E815" s="16"/>
      <c r="F815" s="16"/>
      <c r="G815" s="1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6"/>
      <c r="D816" s="16"/>
      <c r="E816" s="16"/>
      <c r="F816" s="16"/>
      <c r="G816" s="1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6"/>
      <c r="D817" s="16"/>
      <c r="E817" s="16"/>
      <c r="F817" s="16"/>
      <c r="G817" s="1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6"/>
      <c r="D818" s="16"/>
      <c r="E818" s="16"/>
      <c r="F818" s="16"/>
      <c r="G818" s="1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6"/>
      <c r="D819" s="16"/>
      <c r="E819" s="16"/>
      <c r="F819" s="16"/>
      <c r="G819" s="1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6"/>
      <c r="D820" s="16"/>
      <c r="E820" s="16"/>
      <c r="F820" s="16"/>
      <c r="G820" s="1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6"/>
      <c r="D821" s="16"/>
      <c r="E821" s="16"/>
      <c r="F821" s="16"/>
      <c r="G821" s="1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6"/>
      <c r="D822" s="16"/>
      <c r="E822" s="16"/>
      <c r="F822" s="16"/>
      <c r="G822" s="1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6"/>
      <c r="D823" s="16"/>
      <c r="E823" s="16"/>
      <c r="F823" s="16"/>
      <c r="G823" s="1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6"/>
      <c r="D824" s="16"/>
      <c r="E824" s="16"/>
      <c r="F824" s="16"/>
      <c r="G824" s="1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6"/>
      <c r="D825" s="16"/>
      <c r="E825" s="16"/>
      <c r="F825" s="16"/>
      <c r="G825" s="1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6"/>
      <c r="D826" s="16"/>
      <c r="E826" s="16"/>
      <c r="F826" s="16"/>
      <c r="G826" s="1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6"/>
      <c r="D827" s="16"/>
      <c r="E827" s="16"/>
      <c r="F827" s="16"/>
      <c r="G827" s="1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6"/>
      <c r="D828" s="16"/>
      <c r="E828" s="16"/>
      <c r="F828" s="16"/>
      <c r="G828" s="1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6"/>
      <c r="D829" s="16"/>
      <c r="E829" s="16"/>
      <c r="F829" s="16"/>
      <c r="G829" s="1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6"/>
      <c r="D830" s="16"/>
      <c r="E830" s="16"/>
      <c r="F830" s="16"/>
      <c r="G830" s="1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6"/>
      <c r="D831" s="16"/>
      <c r="E831" s="16"/>
      <c r="F831" s="16"/>
      <c r="G831" s="1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6"/>
      <c r="D832" s="16"/>
      <c r="E832" s="16"/>
      <c r="F832" s="16"/>
      <c r="G832" s="1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6"/>
      <c r="D833" s="16"/>
      <c r="E833" s="16"/>
      <c r="F833" s="16"/>
      <c r="G833" s="1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6"/>
      <c r="D834" s="16"/>
      <c r="E834" s="16"/>
      <c r="F834" s="16"/>
      <c r="G834" s="1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6"/>
      <c r="D835" s="16"/>
      <c r="E835" s="16"/>
      <c r="F835" s="16"/>
      <c r="G835" s="1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6"/>
      <c r="D836" s="16"/>
      <c r="E836" s="16"/>
      <c r="F836" s="16"/>
      <c r="G836" s="1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6"/>
      <c r="D837" s="16"/>
      <c r="E837" s="16"/>
      <c r="F837" s="16"/>
      <c r="G837" s="1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6"/>
      <c r="D838" s="16"/>
      <c r="E838" s="16"/>
      <c r="F838" s="16"/>
      <c r="G838" s="1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6"/>
      <c r="D839" s="16"/>
      <c r="E839" s="16"/>
      <c r="F839" s="16"/>
      <c r="G839" s="1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6"/>
      <c r="D840" s="16"/>
      <c r="E840" s="16"/>
      <c r="F840" s="16"/>
      <c r="G840" s="1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6"/>
      <c r="D841" s="16"/>
      <c r="E841" s="16"/>
      <c r="F841" s="16"/>
      <c r="G841" s="1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6"/>
      <c r="D842" s="16"/>
      <c r="E842" s="16"/>
      <c r="F842" s="16"/>
      <c r="G842" s="1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6"/>
      <c r="D843" s="16"/>
      <c r="E843" s="16"/>
      <c r="F843" s="16"/>
      <c r="G843" s="1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6"/>
      <c r="D844" s="16"/>
      <c r="E844" s="16"/>
      <c r="F844" s="16"/>
      <c r="G844" s="1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6"/>
      <c r="D845" s="16"/>
      <c r="E845" s="16"/>
      <c r="F845" s="16"/>
      <c r="G845" s="1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6"/>
      <c r="D846" s="16"/>
      <c r="E846" s="16"/>
      <c r="F846" s="16"/>
      <c r="G846" s="1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6"/>
      <c r="D847" s="16"/>
      <c r="E847" s="16"/>
      <c r="F847" s="16"/>
      <c r="G847" s="1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6"/>
      <c r="D848" s="16"/>
      <c r="E848" s="16"/>
      <c r="F848" s="16"/>
      <c r="G848" s="1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6"/>
      <c r="D849" s="16"/>
      <c r="E849" s="16"/>
      <c r="F849" s="16"/>
      <c r="G849" s="1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6"/>
      <c r="D850" s="16"/>
      <c r="E850" s="16"/>
      <c r="F850" s="16"/>
      <c r="G850" s="1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6"/>
      <c r="D851" s="16"/>
      <c r="E851" s="16"/>
      <c r="F851" s="16"/>
      <c r="G851" s="1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6"/>
      <c r="D852" s="16"/>
      <c r="E852" s="16"/>
      <c r="F852" s="16"/>
      <c r="G852" s="1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6"/>
      <c r="D853" s="16"/>
      <c r="E853" s="16"/>
      <c r="F853" s="16"/>
      <c r="G853" s="1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6"/>
      <c r="D854" s="16"/>
      <c r="E854" s="16"/>
      <c r="F854" s="16"/>
      <c r="G854" s="1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6"/>
      <c r="D855" s="16"/>
      <c r="E855" s="16"/>
      <c r="F855" s="16"/>
      <c r="G855" s="1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6"/>
      <c r="D856" s="16"/>
      <c r="E856" s="16"/>
      <c r="F856" s="16"/>
      <c r="G856" s="1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6"/>
      <c r="D857" s="16"/>
      <c r="E857" s="16"/>
      <c r="F857" s="16"/>
      <c r="G857" s="1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6"/>
      <c r="D858" s="16"/>
      <c r="E858" s="16"/>
      <c r="F858" s="16"/>
      <c r="G858" s="1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6"/>
      <c r="D859" s="16"/>
      <c r="E859" s="16"/>
      <c r="F859" s="16"/>
      <c r="G859" s="1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6"/>
      <c r="D860" s="16"/>
      <c r="E860" s="16"/>
      <c r="F860" s="16"/>
      <c r="G860" s="1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6"/>
      <c r="D861" s="16"/>
      <c r="E861" s="16"/>
      <c r="F861" s="16"/>
      <c r="G861" s="1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6"/>
      <c r="D862" s="16"/>
      <c r="E862" s="16"/>
      <c r="F862" s="16"/>
      <c r="G862" s="1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6"/>
      <c r="D863" s="16"/>
      <c r="E863" s="16"/>
      <c r="F863" s="16"/>
      <c r="G863" s="1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6"/>
      <c r="D864" s="16"/>
      <c r="E864" s="16"/>
      <c r="F864" s="16"/>
      <c r="G864" s="1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6"/>
      <c r="D865" s="16"/>
      <c r="E865" s="16"/>
      <c r="F865" s="16"/>
      <c r="G865" s="1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6"/>
      <c r="D866" s="16"/>
      <c r="E866" s="16"/>
      <c r="F866" s="16"/>
      <c r="G866" s="1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6"/>
      <c r="D867" s="16"/>
      <c r="E867" s="16"/>
      <c r="F867" s="16"/>
      <c r="G867" s="1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6"/>
      <c r="D868" s="16"/>
      <c r="E868" s="16"/>
      <c r="F868" s="16"/>
      <c r="G868" s="1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6"/>
      <c r="D869" s="16"/>
      <c r="E869" s="16"/>
      <c r="F869" s="16"/>
      <c r="G869" s="1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6"/>
      <c r="D870" s="16"/>
      <c r="E870" s="16"/>
      <c r="F870" s="16"/>
      <c r="G870" s="1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6"/>
      <c r="D871" s="16"/>
      <c r="E871" s="16"/>
      <c r="F871" s="16"/>
      <c r="G871" s="1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6"/>
      <c r="D872" s="16"/>
      <c r="E872" s="16"/>
      <c r="F872" s="16"/>
      <c r="G872" s="1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6"/>
      <c r="D873" s="16"/>
      <c r="E873" s="16"/>
      <c r="F873" s="16"/>
      <c r="G873" s="1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6"/>
      <c r="D874" s="16"/>
      <c r="E874" s="16"/>
      <c r="F874" s="16"/>
      <c r="G874" s="1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6"/>
      <c r="D875" s="16"/>
      <c r="E875" s="16"/>
      <c r="F875" s="16"/>
      <c r="G875" s="1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6"/>
      <c r="D876" s="16"/>
      <c r="E876" s="16"/>
      <c r="F876" s="16"/>
      <c r="G876" s="1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6"/>
      <c r="D877" s="16"/>
      <c r="E877" s="16"/>
      <c r="F877" s="16"/>
      <c r="G877" s="1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6"/>
      <c r="D878" s="16"/>
      <c r="E878" s="16"/>
      <c r="F878" s="16"/>
      <c r="G878" s="1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6"/>
      <c r="D879" s="16"/>
      <c r="E879" s="16"/>
      <c r="F879" s="16"/>
      <c r="G879" s="1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6"/>
      <c r="D880" s="16"/>
      <c r="E880" s="16"/>
      <c r="F880" s="16"/>
      <c r="G880" s="1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6"/>
      <c r="D881" s="16"/>
      <c r="E881" s="16"/>
      <c r="F881" s="16"/>
      <c r="G881" s="1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6"/>
      <c r="D882" s="16"/>
      <c r="E882" s="16"/>
      <c r="F882" s="16"/>
      <c r="G882" s="1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6"/>
      <c r="D883" s="16"/>
      <c r="E883" s="16"/>
      <c r="F883" s="16"/>
      <c r="G883" s="1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6"/>
      <c r="D884" s="16"/>
      <c r="E884" s="16"/>
      <c r="F884" s="16"/>
      <c r="G884" s="1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6"/>
      <c r="D885" s="16"/>
      <c r="E885" s="16"/>
      <c r="F885" s="16"/>
      <c r="G885" s="1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6"/>
      <c r="D886" s="16"/>
      <c r="E886" s="16"/>
      <c r="F886" s="16"/>
      <c r="G886" s="1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6"/>
      <c r="D887" s="16"/>
      <c r="E887" s="16"/>
      <c r="F887" s="16"/>
      <c r="G887" s="1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6"/>
      <c r="D888" s="16"/>
      <c r="E888" s="16"/>
      <c r="F888" s="16"/>
      <c r="G888" s="1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6"/>
      <c r="D889" s="16"/>
      <c r="E889" s="16"/>
      <c r="F889" s="16"/>
      <c r="G889" s="1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6"/>
      <c r="D890" s="16"/>
      <c r="E890" s="16"/>
      <c r="F890" s="16"/>
      <c r="G890" s="1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6"/>
      <c r="D891" s="16"/>
      <c r="E891" s="16"/>
      <c r="F891" s="16"/>
      <c r="G891" s="1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6"/>
      <c r="D892" s="16"/>
      <c r="E892" s="16"/>
      <c r="F892" s="16"/>
      <c r="G892" s="1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6"/>
      <c r="D893" s="16"/>
      <c r="E893" s="16"/>
      <c r="F893" s="16"/>
      <c r="G893" s="1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6"/>
      <c r="D894" s="16"/>
      <c r="E894" s="16"/>
      <c r="F894" s="16"/>
      <c r="G894" s="1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6"/>
      <c r="D895" s="16"/>
      <c r="E895" s="16"/>
      <c r="F895" s="16"/>
      <c r="G895" s="1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6"/>
      <c r="D896" s="16"/>
      <c r="E896" s="16"/>
      <c r="F896" s="16"/>
      <c r="G896" s="1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6"/>
      <c r="D897" s="16"/>
      <c r="E897" s="16"/>
      <c r="F897" s="16"/>
      <c r="G897" s="1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6"/>
      <c r="D898" s="16"/>
      <c r="E898" s="16"/>
      <c r="F898" s="16"/>
      <c r="G898" s="1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6"/>
      <c r="D899" s="16"/>
      <c r="E899" s="16"/>
      <c r="F899" s="16"/>
      <c r="G899" s="1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6"/>
      <c r="D900" s="16"/>
      <c r="E900" s="16"/>
      <c r="F900" s="16"/>
      <c r="G900" s="1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6"/>
      <c r="D901" s="16"/>
      <c r="E901" s="16"/>
      <c r="F901" s="16"/>
      <c r="G901" s="1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6"/>
      <c r="D902" s="16"/>
      <c r="E902" s="16"/>
      <c r="F902" s="16"/>
      <c r="G902" s="1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6"/>
      <c r="D903" s="16"/>
      <c r="E903" s="16"/>
      <c r="F903" s="16"/>
      <c r="G903" s="1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6"/>
      <c r="D904" s="16"/>
      <c r="E904" s="16"/>
      <c r="F904" s="16"/>
      <c r="G904" s="1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6"/>
      <c r="D905" s="16"/>
      <c r="E905" s="16"/>
      <c r="F905" s="16"/>
      <c r="G905" s="1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6"/>
      <c r="D906" s="16"/>
      <c r="E906" s="16"/>
      <c r="F906" s="16"/>
      <c r="G906" s="1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6"/>
      <c r="D907" s="16"/>
      <c r="E907" s="16"/>
      <c r="F907" s="16"/>
      <c r="G907" s="1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6"/>
      <c r="D908" s="16"/>
      <c r="E908" s="16"/>
      <c r="F908" s="16"/>
      <c r="G908" s="1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6"/>
      <c r="D909" s="16"/>
      <c r="E909" s="16"/>
      <c r="F909" s="16"/>
      <c r="G909" s="1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6"/>
      <c r="D910" s="16"/>
      <c r="E910" s="16"/>
      <c r="F910" s="16"/>
      <c r="G910" s="1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6"/>
      <c r="D911" s="16"/>
      <c r="E911" s="16"/>
      <c r="F911" s="16"/>
      <c r="G911" s="1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6"/>
      <c r="D912" s="16"/>
      <c r="E912" s="16"/>
      <c r="F912" s="16"/>
      <c r="G912" s="1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6"/>
      <c r="D913" s="16"/>
      <c r="E913" s="16"/>
      <c r="F913" s="16"/>
      <c r="G913" s="1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6"/>
      <c r="D914" s="16"/>
      <c r="E914" s="16"/>
      <c r="F914" s="16"/>
      <c r="G914" s="1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6"/>
      <c r="D915" s="16"/>
      <c r="E915" s="16"/>
      <c r="F915" s="16"/>
      <c r="G915" s="1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6"/>
      <c r="D916" s="16"/>
      <c r="E916" s="16"/>
      <c r="F916" s="16"/>
      <c r="G916" s="1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6"/>
      <c r="D917" s="16"/>
      <c r="E917" s="16"/>
      <c r="F917" s="16"/>
      <c r="G917" s="1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6"/>
      <c r="D918" s="16"/>
      <c r="E918" s="16"/>
      <c r="F918" s="16"/>
      <c r="G918" s="1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6"/>
      <c r="D919" s="16"/>
      <c r="E919" s="16"/>
      <c r="F919" s="16"/>
      <c r="G919" s="1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6"/>
      <c r="D920" s="16"/>
      <c r="E920" s="16"/>
      <c r="F920" s="16"/>
      <c r="G920" s="1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6"/>
      <c r="D921" s="16"/>
      <c r="E921" s="16"/>
      <c r="F921" s="16"/>
      <c r="G921" s="1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6"/>
      <c r="D922" s="16"/>
      <c r="E922" s="16"/>
      <c r="F922" s="16"/>
      <c r="G922" s="1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6"/>
      <c r="D923" s="16"/>
      <c r="E923" s="16"/>
      <c r="F923" s="16"/>
      <c r="G923" s="1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6"/>
      <c r="D924" s="16"/>
      <c r="E924" s="16"/>
      <c r="F924" s="16"/>
      <c r="G924" s="1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6"/>
      <c r="D925" s="16"/>
      <c r="E925" s="16"/>
      <c r="F925" s="16"/>
      <c r="G925" s="1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6"/>
      <c r="D926" s="16"/>
      <c r="E926" s="16"/>
      <c r="F926" s="16"/>
      <c r="G926" s="1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6"/>
      <c r="D927" s="16"/>
      <c r="E927" s="16"/>
      <c r="F927" s="16"/>
      <c r="G927" s="1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6"/>
      <c r="D928" s="16"/>
      <c r="E928" s="16"/>
      <c r="F928" s="16"/>
      <c r="G928" s="1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6"/>
      <c r="D929" s="16"/>
      <c r="E929" s="16"/>
      <c r="F929" s="16"/>
      <c r="G929" s="1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6"/>
      <c r="D930" s="16"/>
      <c r="E930" s="16"/>
      <c r="F930" s="16"/>
      <c r="G930" s="1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6"/>
      <c r="D931" s="16"/>
      <c r="E931" s="16"/>
      <c r="F931" s="16"/>
      <c r="G931" s="1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6"/>
      <c r="D932" s="16"/>
      <c r="E932" s="16"/>
      <c r="F932" s="16"/>
      <c r="G932" s="1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6"/>
      <c r="D933" s="16"/>
      <c r="E933" s="16"/>
      <c r="F933" s="16"/>
      <c r="G933" s="1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6"/>
      <c r="D934" s="16"/>
      <c r="E934" s="16"/>
      <c r="F934" s="16"/>
      <c r="G934" s="1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6"/>
      <c r="D935" s="16"/>
      <c r="E935" s="16"/>
      <c r="F935" s="16"/>
      <c r="G935" s="1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6"/>
      <c r="D936" s="16"/>
      <c r="E936" s="16"/>
      <c r="F936" s="16"/>
      <c r="G936" s="1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6"/>
      <c r="D937" s="16"/>
      <c r="E937" s="16"/>
      <c r="F937" s="16"/>
      <c r="G937" s="1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6"/>
      <c r="D938" s="16"/>
      <c r="E938" s="16"/>
      <c r="F938" s="16"/>
      <c r="G938" s="1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6"/>
      <c r="D939" s="16"/>
      <c r="E939" s="16"/>
      <c r="F939" s="16"/>
      <c r="G939" s="1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6"/>
      <c r="D940" s="16"/>
      <c r="E940" s="16"/>
      <c r="F940" s="16"/>
      <c r="G940" s="1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6"/>
      <c r="D941" s="16"/>
      <c r="E941" s="16"/>
      <c r="F941" s="16"/>
      <c r="G941" s="1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6"/>
      <c r="D942" s="16"/>
      <c r="E942" s="16"/>
      <c r="F942" s="16"/>
      <c r="G942" s="1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6"/>
      <c r="D943" s="16"/>
      <c r="E943" s="16"/>
      <c r="F943" s="16"/>
      <c r="G943" s="1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6"/>
      <c r="D944" s="16"/>
      <c r="E944" s="16"/>
      <c r="F944" s="16"/>
      <c r="G944" s="1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6"/>
      <c r="D945" s="16"/>
      <c r="E945" s="16"/>
      <c r="F945" s="16"/>
      <c r="G945" s="1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6"/>
      <c r="D946" s="16"/>
      <c r="E946" s="16"/>
      <c r="F946" s="16"/>
      <c r="G946" s="1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6"/>
      <c r="D947" s="16"/>
      <c r="E947" s="16"/>
      <c r="F947" s="16"/>
      <c r="G947" s="1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6"/>
      <c r="D948" s="16"/>
      <c r="E948" s="16"/>
      <c r="F948" s="16"/>
      <c r="G948" s="1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6"/>
      <c r="D949" s="16"/>
      <c r="E949" s="16"/>
      <c r="F949" s="16"/>
      <c r="G949" s="1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6"/>
      <c r="D950" s="16"/>
      <c r="E950" s="16"/>
      <c r="F950" s="16"/>
      <c r="G950" s="1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6"/>
      <c r="D951" s="16"/>
      <c r="E951" s="16"/>
      <c r="F951" s="16"/>
      <c r="G951" s="1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6"/>
      <c r="D952" s="16"/>
      <c r="E952" s="16"/>
      <c r="F952" s="16"/>
      <c r="G952" s="1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6"/>
      <c r="D953" s="16"/>
      <c r="E953" s="16"/>
      <c r="F953" s="16"/>
      <c r="G953" s="1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6"/>
      <c r="D954" s="16"/>
      <c r="E954" s="16"/>
      <c r="F954" s="16"/>
      <c r="G954" s="1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6"/>
      <c r="D955" s="16"/>
      <c r="E955" s="16"/>
      <c r="F955" s="16"/>
      <c r="G955" s="1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6"/>
      <c r="D956" s="16"/>
      <c r="E956" s="16"/>
      <c r="F956" s="16"/>
      <c r="G956" s="1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6"/>
      <c r="D957" s="16"/>
      <c r="E957" s="16"/>
      <c r="F957" s="16"/>
      <c r="G957" s="1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6"/>
      <c r="D958" s="16"/>
      <c r="E958" s="16"/>
      <c r="F958" s="16"/>
      <c r="G958" s="1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6"/>
      <c r="D959" s="16"/>
      <c r="E959" s="16"/>
      <c r="F959" s="16"/>
      <c r="G959" s="1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6"/>
      <c r="D960" s="16"/>
      <c r="E960" s="16"/>
      <c r="F960" s="16"/>
      <c r="G960" s="1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6"/>
      <c r="D961" s="16"/>
      <c r="E961" s="16"/>
      <c r="F961" s="16"/>
      <c r="G961" s="1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6"/>
      <c r="D962" s="16"/>
      <c r="E962" s="16"/>
      <c r="F962" s="16"/>
      <c r="G962" s="1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6"/>
      <c r="D963" s="16"/>
      <c r="E963" s="16"/>
      <c r="F963" s="16"/>
      <c r="G963" s="1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6"/>
      <c r="D964" s="16"/>
      <c r="E964" s="16"/>
      <c r="F964" s="16"/>
      <c r="G964" s="1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6"/>
      <c r="D965" s="16"/>
      <c r="E965" s="16"/>
      <c r="F965" s="16"/>
      <c r="G965" s="1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6"/>
      <c r="D966" s="16"/>
      <c r="E966" s="16"/>
      <c r="F966" s="16"/>
      <c r="G966" s="1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6"/>
      <c r="D967" s="16"/>
      <c r="E967" s="16"/>
      <c r="F967" s="16"/>
      <c r="G967" s="1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6"/>
      <c r="D968" s="16"/>
      <c r="E968" s="16"/>
      <c r="F968" s="16"/>
      <c r="G968" s="1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6"/>
      <c r="D969" s="16"/>
      <c r="E969" s="16"/>
      <c r="F969" s="16"/>
      <c r="G969" s="1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6"/>
      <c r="D970" s="16"/>
      <c r="E970" s="16"/>
      <c r="F970" s="16"/>
      <c r="G970" s="1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6"/>
      <c r="D971" s="16"/>
      <c r="E971" s="16"/>
      <c r="F971" s="16"/>
      <c r="G971" s="1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6"/>
      <c r="D972" s="16"/>
      <c r="E972" s="16"/>
      <c r="F972" s="16"/>
      <c r="G972" s="1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6"/>
      <c r="D973" s="16"/>
      <c r="E973" s="16"/>
      <c r="F973" s="16"/>
      <c r="G973" s="1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6"/>
      <c r="D974" s="16"/>
      <c r="E974" s="16"/>
      <c r="F974" s="16"/>
      <c r="G974" s="1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6"/>
      <c r="D975" s="16"/>
      <c r="E975" s="16"/>
      <c r="F975" s="16"/>
      <c r="G975" s="1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6"/>
      <c r="D976" s="16"/>
      <c r="E976" s="16"/>
      <c r="F976" s="16"/>
      <c r="G976" s="1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6"/>
      <c r="D977" s="16"/>
      <c r="E977" s="16"/>
      <c r="F977" s="16"/>
      <c r="G977" s="1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6"/>
      <c r="D978" s="16"/>
      <c r="E978" s="16"/>
      <c r="F978" s="16"/>
      <c r="G978" s="1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6"/>
      <c r="D979" s="16"/>
      <c r="E979" s="16"/>
      <c r="F979" s="16"/>
      <c r="G979" s="1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6"/>
      <c r="D980" s="16"/>
      <c r="E980" s="16"/>
      <c r="F980" s="16"/>
      <c r="G980" s="1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6"/>
      <c r="D981" s="16"/>
      <c r="E981" s="16"/>
      <c r="F981" s="16"/>
      <c r="G981" s="1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6"/>
      <c r="D982" s="16"/>
      <c r="E982" s="16"/>
      <c r="F982" s="16"/>
      <c r="G982" s="1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6"/>
      <c r="D983" s="16"/>
      <c r="E983" s="16"/>
      <c r="F983" s="16"/>
      <c r="G983" s="1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6"/>
      <c r="D984" s="16"/>
      <c r="E984" s="16"/>
      <c r="F984" s="16"/>
      <c r="G984" s="1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6"/>
      <c r="D985" s="16"/>
      <c r="E985" s="16"/>
      <c r="F985" s="16"/>
      <c r="G985" s="1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6"/>
      <c r="D986" s="16"/>
      <c r="E986" s="16"/>
      <c r="F986" s="16"/>
      <c r="G986" s="1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6"/>
      <c r="D987" s="16"/>
      <c r="E987" s="16"/>
      <c r="F987" s="16"/>
      <c r="G987" s="1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6"/>
      <c r="D988" s="16"/>
      <c r="E988" s="16"/>
      <c r="F988" s="16"/>
      <c r="G988" s="1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6"/>
      <c r="D989" s="16"/>
      <c r="E989" s="16"/>
      <c r="F989" s="16"/>
      <c r="G989" s="1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6"/>
      <c r="D990" s="16"/>
      <c r="E990" s="16"/>
      <c r="F990" s="16"/>
      <c r="G990" s="1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6"/>
      <c r="D991" s="16"/>
      <c r="E991" s="16"/>
      <c r="F991" s="16"/>
      <c r="G991" s="1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6"/>
      <c r="D992" s="16"/>
      <c r="E992" s="16"/>
      <c r="F992" s="16"/>
      <c r="G992" s="1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6"/>
      <c r="D993" s="16"/>
      <c r="E993" s="16"/>
      <c r="F993" s="16"/>
      <c r="G993" s="1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6"/>
      <c r="D994" s="16"/>
      <c r="E994" s="16"/>
      <c r="F994" s="16"/>
      <c r="G994" s="1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6"/>
      <c r="D995" s="16"/>
      <c r="E995" s="16"/>
      <c r="F995" s="16"/>
      <c r="G995" s="1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6"/>
      <c r="D996" s="16"/>
      <c r="E996" s="16"/>
      <c r="F996" s="16"/>
      <c r="G996" s="1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6"/>
      <c r="D997" s="16"/>
      <c r="E997" s="16"/>
      <c r="F997" s="16"/>
      <c r="G997" s="1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6"/>
      <c r="D998" s="16"/>
      <c r="E998" s="16"/>
      <c r="F998" s="16"/>
      <c r="G998" s="1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6"/>
      <c r="D999" s="16"/>
      <c r="E999" s="16"/>
      <c r="F999" s="16"/>
      <c r="G999" s="1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6"/>
      <c r="D1000" s="16"/>
      <c r="E1000" s="16"/>
      <c r="F1000" s="16"/>
      <c r="G1000" s="1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6"/>
      <c r="D1001" s="16"/>
      <c r="E1001" s="16"/>
      <c r="F1001" s="16"/>
      <c r="G1001" s="1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6"/>
      <c r="D1002" s="16"/>
      <c r="E1002" s="16"/>
      <c r="F1002" s="16"/>
      <c r="G1002" s="1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6"/>
      <c r="D1003" s="16"/>
      <c r="E1003" s="16"/>
      <c r="F1003" s="16"/>
      <c r="G1003" s="1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6"/>
      <c r="D1004" s="16"/>
      <c r="E1004" s="16"/>
      <c r="F1004" s="16"/>
      <c r="G1004" s="1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6"/>
      <c r="D1005" s="16"/>
      <c r="E1005" s="16"/>
      <c r="F1005" s="16"/>
      <c r="G1005" s="16"/>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6"/>
      <c r="D1006" s="16"/>
      <c r="E1006" s="16"/>
      <c r="F1006" s="16"/>
      <c r="G1006" s="16"/>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6"/>
      <c r="D1007" s="16"/>
      <c r="E1007" s="16"/>
      <c r="F1007" s="16"/>
      <c r="G1007" s="16"/>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6"/>
      <c r="D1008" s="16"/>
      <c r="E1008" s="16"/>
      <c r="F1008" s="16"/>
      <c r="G1008" s="16"/>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6"/>
      <c r="D1009" s="16"/>
      <c r="E1009" s="16"/>
      <c r="F1009" s="16"/>
      <c r="G1009" s="16"/>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6"/>
      <c r="D1010" s="16"/>
      <c r="E1010" s="16"/>
      <c r="F1010" s="16"/>
      <c r="G1010" s="16"/>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6"/>
      <c r="D1011" s="16"/>
      <c r="E1011" s="16"/>
      <c r="F1011" s="16"/>
      <c r="G1011" s="16"/>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6"/>
      <c r="D1012" s="16"/>
      <c r="E1012" s="16"/>
      <c r="F1012" s="16"/>
      <c r="G1012" s="16"/>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6"/>
      <c r="D1013" s="16"/>
      <c r="E1013" s="16"/>
      <c r="F1013" s="16"/>
      <c r="G1013" s="16"/>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6"/>
      <c r="D1014" s="16"/>
      <c r="E1014" s="16"/>
      <c r="F1014" s="16"/>
      <c r="G1014" s="16"/>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6"/>
      <c r="D1015" s="16"/>
      <c r="E1015" s="16"/>
      <c r="F1015" s="16"/>
      <c r="G1015" s="16"/>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6"/>
      <c r="D1016" s="16"/>
      <c r="E1016" s="16"/>
      <c r="F1016" s="16"/>
      <c r="G1016" s="16"/>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6"/>
      <c r="D1017" s="16"/>
      <c r="E1017" s="16"/>
      <c r="F1017" s="16"/>
      <c r="G1017" s="16"/>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6"/>
      <c r="D1018" s="16"/>
      <c r="E1018" s="16"/>
      <c r="F1018" s="16"/>
      <c r="G1018" s="16"/>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6"/>
      <c r="D1019" s="16"/>
      <c r="E1019" s="16"/>
      <c r="F1019" s="16"/>
      <c r="G1019" s="16"/>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6"/>
      <c r="D1020" s="16"/>
      <c r="E1020" s="16"/>
      <c r="F1020" s="16"/>
      <c r="G1020" s="16"/>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6"/>
      <c r="D1021" s="16"/>
      <c r="E1021" s="16"/>
      <c r="F1021" s="16"/>
      <c r="G1021" s="16"/>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6"/>
      <c r="D1022" s="16"/>
      <c r="E1022" s="16"/>
      <c r="F1022" s="16"/>
      <c r="G1022" s="16"/>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6"/>
      <c r="D1023" s="16"/>
      <c r="E1023" s="16"/>
      <c r="F1023" s="16"/>
      <c r="G1023" s="16"/>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6"/>
      <c r="D1024" s="16"/>
      <c r="E1024" s="16"/>
      <c r="F1024" s="16"/>
      <c r="G1024" s="16"/>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6"/>
      <c r="D1025" s="16"/>
      <c r="E1025" s="16"/>
      <c r="F1025" s="16"/>
      <c r="G1025" s="16"/>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6"/>
      <c r="D1026" s="16"/>
      <c r="E1026" s="16"/>
      <c r="F1026" s="16"/>
      <c r="G1026" s="16"/>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6"/>
      <c r="D1027" s="16"/>
      <c r="E1027" s="16"/>
      <c r="F1027" s="16"/>
      <c r="G1027" s="16"/>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6"/>
      <c r="D1028" s="16"/>
      <c r="E1028" s="16"/>
      <c r="F1028" s="16"/>
      <c r="G1028" s="16"/>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6"/>
      <c r="D1029" s="16"/>
      <c r="E1029" s="16"/>
      <c r="F1029" s="16"/>
      <c r="G1029" s="16"/>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6"/>
      <c r="D1030" s="16"/>
      <c r="E1030" s="16"/>
      <c r="F1030" s="16"/>
      <c r="G1030" s="16"/>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6"/>
      <c r="D1031" s="16"/>
      <c r="E1031" s="16"/>
      <c r="F1031" s="16"/>
      <c r="G1031" s="16"/>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6"/>
      <c r="D1032" s="16"/>
      <c r="E1032" s="16"/>
      <c r="F1032" s="16"/>
      <c r="G1032" s="16"/>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6"/>
      <c r="D1033" s="16"/>
      <c r="E1033" s="16"/>
      <c r="F1033" s="16"/>
      <c r="G1033" s="16"/>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6"/>
      <c r="D1034" s="16"/>
      <c r="E1034" s="16"/>
      <c r="F1034" s="16"/>
      <c r="G1034" s="16"/>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6"/>
      <c r="D1035" s="16"/>
      <c r="E1035" s="16"/>
      <c r="F1035" s="16"/>
      <c r="G1035" s="16"/>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6"/>
      <c r="D1036" s="16"/>
      <c r="E1036" s="16"/>
      <c r="F1036" s="16"/>
      <c r="G1036" s="16"/>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6"/>
      <c r="D1037" s="16"/>
      <c r="E1037" s="16"/>
      <c r="F1037" s="16"/>
      <c r="G1037" s="16"/>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6"/>
      <c r="D1038" s="16"/>
      <c r="E1038" s="16"/>
      <c r="F1038" s="16"/>
      <c r="G1038" s="16"/>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6"/>
      <c r="D1039" s="16"/>
      <c r="E1039" s="16"/>
      <c r="F1039" s="16"/>
      <c r="G1039" s="16"/>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6"/>
      <c r="D1040" s="16"/>
      <c r="E1040" s="16"/>
      <c r="F1040" s="16"/>
      <c r="G1040" s="16"/>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6"/>
      <c r="D1041" s="16"/>
      <c r="E1041" s="16"/>
      <c r="F1041" s="16"/>
      <c r="G1041" s="16"/>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6"/>
      <c r="D1042" s="16"/>
      <c r="E1042" s="16"/>
      <c r="F1042" s="16"/>
      <c r="G1042" s="16"/>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6"/>
      <c r="D1043" s="16"/>
      <c r="E1043" s="16"/>
      <c r="F1043" s="16"/>
      <c r="G1043" s="16"/>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6"/>
      <c r="D1044" s="16"/>
      <c r="E1044" s="16"/>
      <c r="F1044" s="16"/>
      <c r="G1044" s="16"/>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6"/>
      <c r="D1045" s="16"/>
      <c r="E1045" s="16"/>
      <c r="F1045" s="16"/>
      <c r="G1045" s="16"/>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6"/>
      <c r="D1046" s="16"/>
      <c r="E1046" s="16"/>
      <c r="F1046" s="16"/>
      <c r="G1046" s="16"/>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6"/>
      <c r="D1047" s="16"/>
      <c r="E1047" s="16"/>
      <c r="F1047" s="16"/>
      <c r="G1047" s="16"/>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6"/>
      <c r="D1048" s="16"/>
      <c r="E1048" s="16"/>
      <c r="F1048" s="16"/>
      <c r="G1048" s="16"/>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6"/>
      <c r="D1049" s="16"/>
      <c r="E1049" s="16"/>
      <c r="F1049" s="16"/>
      <c r="G1049" s="16"/>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6"/>
      <c r="D1050" s="16"/>
      <c r="E1050" s="16"/>
      <c r="F1050" s="16"/>
      <c r="G1050" s="16"/>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6"/>
      <c r="D1051" s="16"/>
      <c r="E1051" s="16"/>
      <c r="F1051" s="16"/>
      <c r="G1051" s="16"/>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6"/>
      <c r="D1052" s="16"/>
      <c r="E1052" s="16"/>
      <c r="F1052" s="16"/>
      <c r="G1052" s="16"/>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5:H55"/>
    <mergeCell ref="B56:F56"/>
    <mergeCell ref="D59:H59"/>
    <mergeCell ref="D60:H60"/>
    <mergeCell ref="D61:H61"/>
    <mergeCell ref="C66:H66"/>
    <mergeCell ref="C76:H76"/>
    <mergeCell ref="C80:H80"/>
    <mergeCell ref="D119:H119"/>
    <mergeCell ref="C120:H120"/>
    <mergeCell ref="A125:H125"/>
    <mergeCell ref="A126:H131"/>
    <mergeCell ref="B142:G142"/>
    <mergeCell ref="B143:G143"/>
    <mergeCell ref="B144:G144"/>
    <mergeCell ref="D83:H83"/>
    <mergeCell ref="D85:H85"/>
    <mergeCell ref="C114:H114"/>
    <mergeCell ref="C115:H115"/>
    <mergeCell ref="C116:H116"/>
    <mergeCell ref="C117:H117"/>
    <mergeCell ref="C118:H118"/>
  </mergeCells>
  <dataValidations>
    <dataValidation type="list" allowBlank="1" sqref="B59 B65 B87:B88">
      <formula1>"Yes,No"</formula1>
    </dataValidation>
    <dataValidation type="list" allowBlank="1" sqref="B93">
      <formula1>"Round Tables,Banquet Tables,Cocktail Tables"</formula1>
    </dataValidation>
    <dataValidation type="list" allowBlank="1" sqref="B91">
      <formula1>"Bringing our own centerpieces,Using SS Something Borrowed Centerpieces,Mixture of Both"</formula1>
    </dataValidation>
    <dataValidation type="list" allowBlank="1" sqref="B102">
      <formula1>"Yes,Prefer not"</formula1>
    </dataValidation>
    <dataValidation type="list" allowBlank="1" sqref="B103">
      <formula1>"Yes I do,No we need to assign someone,Cake and cake service supplied in our package with SS"</formula1>
    </dataValidation>
    <dataValidation type="list" allowBlank="1" sqref="B114">
      <formula1>"This will be very helpful"</formula1>
    </dataValidation>
    <dataValidation type="list" allowBlank="1" sqref="B67">
      <formula1>"Yes I have assigned those who are picking up decor,We are not bringing any extra decor"</formula1>
    </dataValidation>
    <dataValidation type="list" allowBlank="1" sqref="B69">
      <formula1>"We are bringing battery operated candles,We do not have any candles at all in the Chapel"</formula1>
    </dataValidation>
    <dataValidation type="list" allowBlank="1" sqref="B116">
      <formula1>"I have given a $1000 check,I have given a credit card on file"</formula1>
    </dataValidation>
    <dataValidation type="list" allowBlank="1" sqref="B111">
      <formula1>"Yes we are aware clean up of bridal cottage and jail will start approximately 30 minutes before event is over"</formula1>
    </dataValidation>
    <dataValidation type="list" allowBlank="1" sqref="B66">
      <formula1>"Yes I am aware"</formula1>
    </dataValidation>
    <dataValidation type="list" allowBlank="1" sqref="B89">
      <formula1>"no dance floor,small,medium,large,extra large"</formula1>
    </dataValidation>
    <dataValidation type="list" allowBlank="1" sqref="B100">
      <formula1>"Open Bar,Cash Bar,Open Bar with Set ups,No Bar"</formula1>
    </dataValidation>
    <dataValidation type="decimal" allowBlank="1" showDropDown="1" sqref="B85:B86">
      <formula1>1.0</formula1>
      <formula2>5.0</formula2>
    </dataValidation>
    <dataValidation type="list" allowBlank="1" sqref="B79">
      <formula1>"Yes added Cake Gazebo with Initial on back wall to my package,No Cake Gazebo"</formula1>
    </dataValidation>
    <dataValidation type="list" allowBlank="1" sqref="B104">
      <formula1>"Release tables one at a time,Have DJ announce buffet line is open"</formula1>
    </dataValidation>
    <dataValidation type="list" allowBlank="1" sqref="B118">
      <formula1>"Got everyone assigned"</formula1>
    </dataValidation>
    <dataValidation type="list" allowBlank="1" sqref="B57">
      <formula1>"Chapel,Vintage Gazebo,Waterfall Gazebo,Pergola by the Lake"</formula1>
    </dataValidation>
    <dataValidation type="list" allowBlank="1" sqref="B101">
      <formula1>"Before only,After only,Before and After Ceremony"</formula1>
    </dataValidation>
    <dataValidation type="list" allowBlank="1" sqref="B62">
      <formula1>"Yes,No,Other"</formula1>
    </dataValidation>
    <dataValidation type="list" allowBlank="1" sqref="B92">
      <formula1>"Round Table set up,Aubrey Style banquet table set up"</formula1>
    </dataValidation>
    <dataValidation type="list" allowBlank="1" sqref="B64">
      <formula1>"Yes all music is selected,No but I will get the list to the coordinator asap"</formula1>
    </dataValidation>
    <dataValidation type="list" allowBlank="1" sqref="B74">
      <formula1>"Reception Hall (max 220),Street of the Town (max 300),Saloon (max 50),Restaurant (max 35)"</formula1>
    </dataValidation>
    <dataValidation type="list" allowBlank="1" sqref="B68">
      <formula1>"We will be using fake flower petals,We are not using flower petals"</formula1>
    </dataValidation>
    <dataValidation type="list" allowBlank="1" sqref="B80">
      <formula1>"60"" round,48"" round,36"" round,6' rectangle"</formula1>
    </dataValidation>
    <dataValidation type="decimal" allowBlank="1" showDropDown="1" sqref="B84">
      <formula1>1.0</formula1>
      <formula2>4.0</formula2>
    </dataValidation>
    <dataValidation type="list" allowBlank="1" sqref="B90">
      <formula1>"yes,no"</formula1>
    </dataValidation>
    <dataValidation type="list" allowBlank="1" sqref="B75">
      <formula1>"Using SS's Google Home,SS's DJ,Bringing own DJ/speaker"</formula1>
    </dataValidation>
    <dataValidation type="decimal" allowBlank="1" showDropDown="1" sqref="B78">
      <formula1>1.0</formula1>
      <formula2>3.0</formula2>
    </dataValidation>
    <dataValidation type="list" allowBlank="1" sqref="B76">
      <formula1>"I am aware reception location will be made by Silver Sycamore 24 hours prior to Wedding,I am aware there is a $700 last minute set up fee if I choose to wait till day of to change location"</formula1>
    </dataValidation>
    <dataValidation type="list" allowBlank="1" sqref="B60">
      <formula1>"Chapel,Outside no matter. However I am aware that my guests might not be willing to sit out in the rain."</formula1>
    </dataValidation>
    <dataValidation type="list" allowBlank="1" showDropDown="1" sqref="B117 B119:B121">
      <formula1>"option 1,option2,option 3"</formula1>
    </dataValidation>
    <dataValidation type="list" allowBlank="1" sqref="B58">
      <formula1>"Yes,Not yet waiting to verify will all involved then I will email with date and time"</formula1>
    </dataValidation>
    <dataValidation type="list" allowBlank="1" sqref="B108">
      <formula1>"Bubbles,Sparklers (we will bring lighters also),No exit plans"</formula1>
    </dataValidation>
    <dataValidation type="decimal" allowBlank="1" showDropDown="1" sqref="B61">
      <formula1>10.0</formula1>
      <formula2>200.0</formula2>
    </dataValidation>
    <dataValidation type="list" allowBlank="1" sqref="B83">
      <formula1>"Sweetheart table,Head Table,None of the above"</formula1>
    </dataValidation>
    <dataValidation type="list" allowBlank="1" sqref="B115">
      <formula1>"Yes I have reread the contract,No not yet but plan to"</formula1>
    </dataValidation>
    <dataValidation type="list" allowBlank="1" sqref="B70">
      <formula1>"I have informed my Vendors,We will not be using a ladder"</formula1>
    </dataValidation>
    <dataValidation type="list" allowBlank="1" sqref="B77">
      <formula1>"We want buffet line outside under tent,We would prefer buffet line inside the Saloon"</formula1>
    </dataValidation>
    <dataValidation type="list" allowBlank="1" sqref="B81">
      <formula1>"We bought our own,We will use Silver Sycamore's"</formula1>
    </dataValidation>
    <dataValidation type="list" allowBlank="1" sqref="B82">
      <formula1>"Florist supplied flowers,a cake topper"</formula1>
    </dataValidation>
    <dataValidation type="list" allowBlank="1" sqref="B94">
      <formula1>"Yes the layout is final,Please make modifications necessary"</formula1>
    </dataValidation>
    <dataValidation type="list" allowBlank="1" sqref="B63">
      <formula1>"Yes lock- so there is no disturbance,No keep unlocked to let guests enter quietly as possible"</formula1>
    </dataValidation>
    <dataValidation type="list" allowBlank="1" sqref="B71">
      <formula1>"Yes see attached,No but almost ready to"</formula1>
    </dataValidation>
  </dataValidations>
  <hyperlinks>
    <hyperlink r:id="rId1" ref="C78"/>
    <hyperlink r:id="rId2" ref="D81"/>
    <hyperlink r:id="rId3" ref="E81"/>
  </hyperlinks>
  <printOptions gridLines="1" horizontalCentered="1"/>
  <pageMargins bottom="0.75" footer="0.0" header="0.0" left="0.7" right="0.7" top="0.75"/>
  <pageSetup fitToHeight="0"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3.5"/>
  </cols>
  <sheetData>
    <row r="1">
      <c r="A1" s="76" t="s">
        <v>157</v>
      </c>
      <c r="B1" s="77" t="str">
        <f>'Required Info'!B4</f>
        <v/>
      </c>
    </row>
    <row r="2">
      <c r="A2" s="76" t="s">
        <v>2</v>
      </c>
      <c r="B2" s="78" t="str">
        <f>'Required Info'!D4</f>
        <v/>
      </c>
    </row>
    <row r="3">
      <c r="A3" s="76" t="s">
        <v>3</v>
      </c>
      <c r="B3" s="79" t="str">
        <f>'Required Info'!F4</f>
        <v/>
      </c>
      <c r="D3" s="80" t="str">
        <f>'Required Info'!A126</f>
        <v/>
      </c>
    </row>
    <row r="4">
      <c r="A4" s="81" t="s">
        <v>21</v>
      </c>
      <c r="B4" s="82" t="str">
        <f>'Required Info'!B21</f>
        <v/>
      </c>
    </row>
    <row r="5">
      <c r="A5" s="83" t="s">
        <v>158</v>
      </c>
      <c r="B5" s="82" t="str">
        <f>'Required Info'!B31</f>
        <v/>
      </c>
    </row>
    <row r="6">
      <c r="A6" s="83" t="s">
        <v>37</v>
      </c>
      <c r="B6" s="79" t="str">
        <f>'Required Info'!B35:F35</f>
        <v/>
      </c>
    </row>
    <row r="7">
      <c r="A7" s="84" t="s">
        <v>159</v>
      </c>
      <c r="B7" s="79" t="str">
        <f>'Required Info'!C35</f>
        <v/>
      </c>
    </row>
    <row r="8">
      <c r="A8" s="85"/>
      <c r="B8" s="79"/>
    </row>
    <row r="9">
      <c r="A9" s="86" t="s">
        <v>45</v>
      </c>
      <c r="B9" s="79" t="str">
        <f>'Required Info'!B38</f>
        <v/>
      </c>
      <c r="C9" t="str">
        <f>'Required Info'!F38</f>
        <v/>
      </c>
    </row>
    <row r="10">
      <c r="A10" s="86" t="s">
        <v>46</v>
      </c>
      <c r="B10" s="79" t="str">
        <f>'Required Info'!B39</f>
        <v/>
      </c>
      <c r="C10" t="str">
        <f>'Required Info'!F39</f>
        <v/>
      </c>
    </row>
    <row r="11">
      <c r="A11" s="86" t="s">
        <v>160</v>
      </c>
      <c r="B11" s="79" t="str">
        <f>'Required Info'!B40</f>
        <v/>
      </c>
      <c r="C11" t="str">
        <f>'Required Info'!F40</f>
        <v/>
      </c>
    </row>
    <row r="12">
      <c r="A12" s="86" t="s">
        <v>48</v>
      </c>
      <c r="B12" s="79" t="str">
        <f>'Required Info'!B41</f>
        <v/>
      </c>
      <c r="C12" t="str">
        <f>'Required Info'!F41</f>
        <v/>
      </c>
    </row>
    <row r="13">
      <c r="A13" s="87" t="s">
        <v>51</v>
      </c>
      <c r="B13" s="79" t="str">
        <f>'Required Info'!B43</f>
        <v/>
      </c>
      <c r="C13" t="str">
        <f>'Required Info'!F43</f>
        <v/>
      </c>
    </row>
    <row r="14">
      <c r="A14" s="86" t="s">
        <v>53</v>
      </c>
      <c r="B14" s="79" t="str">
        <f>'Required Info'!B45</f>
        <v/>
      </c>
      <c r="C14" t="str">
        <f>'Required Info'!F45</f>
        <v/>
      </c>
    </row>
    <row r="15">
      <c r="A15" s="86" t="s">
        <v>54</v>
      </c>
      <c r="B15" s="79" t="str">
        <f>'Required Info'!B46</f>
        <v/>
      </c>
      <c r="C15" t="str">
        <f>'Required Info'!F46</f>
        <v/>
      </c>
    </row>
    <row r="16">
      <c r="A16" s="86" t="s">
        <v>55</v>
      </c>
      <c r="B16" s="79" t="str">
        <f>'Required Info'!B47</f>
        <v/>
      </c>
      <c r="C16" t="str">
        <f>'Required Info'!F47</f>
        <v/>
      </c>
    </row>
    <row r="17">
      <c r="A17" s="85"/>
      <c r="B17" s="79"/>
    </row>
    <row r="18">
      <c r="A18" s="84" t="s">
        <v>161</v>
      </c>
      <c r="B18" s="79" t="str">
        <f>'Required Info'!B57</f>
        <v/>
      </c>
    </row>
    <row r="19">
      <c r="A19" s="87" t="s">
        <v>73</v>
      </c>
      <c r="B19" s="79" t="str">
        <f>'Required Info'!B62</f>
        <v/>
      </c>
    </row>
    <row r="20">
      <c r="A20" s="85"/>
      <c r="B20" s="79"/>
    </row>
    <row r="21">
      <c r="A21" s="84" t="s">
        <v>162</v>
      </c>
      <c r="B21" s="79" t="str">
        <f>'Required Info'!B74</f>
        <v/>
      </c>
    </row>
    <row r="22">
      <c r="A22" s="83" t="s">
        <v>163</v>
      </c>
      <c r="B22" s="79" t="str">
        <f>'Required Info'!B77</f>
        <v/>
      </c>
    </row>
    <row r="23">
      <c r="A23" s="83" t="s">
        <v>109</v>
      </c>
      <c r="B23" s="79" t="str">
        <f>'Required Info'!B87</f>
        <v/>
      </c>
    </row>
    <row r="24">
      <c r="A24" s="83" t="s">
        <v>103</v>
      </c>
      <c r="B24" s="79" t="str">
        <f>'Required Info'!B84</f>
        <v/>
      </c>
    </row>
    <row r="25">
      <c r="A25" s="83" t="s">
        <v>105</v>
      </c>
      <c r="B25" s="79" t="str">
        <f>'Required Info'!B85</f>
        <v/>
      </c>
    </row>
    <row r="26">
      <c r="A26" s="83" t="s">
        <v>111</v>
      </c>
      <c r="B26" s="79" t="str">
        <f>'Required Info'!B89</f>
        <v/>
      </c>
    </row>
    <row r="27">
      <c r="A27" s="83" t="s">
        <v>120</v>
      </c>
      <c r="B27" s="79" t="str">
        <f>'Required Info'!B100</f>
        <v/>
      </c>
    </row>
    <row r="28">
      <c r="A28" s="83" t="s">
        <v>129</v>
      </c>
      <c r="B28" s="79" t="str">
        <f>'Required Info'!B108</f>
        <v/>
      </c>
    </row>
    <row r="29">
      <c r="A29" s="88"/>
      <c r="B29" s="79"/>
    </row>
    <row r="30">
      <c r="A30" s="83" t="s">
        <v>164</v>
      </c>
      <c r="B30" s="79" t="str">
        <f>'Required Info'!B95</f>
        <v/>
      </c>
    </row>
    <row r="31">
      <c r="A31" s="79"/>
      <c r="B31" s="79"/>
    </row>
    <row r="32">
      <c r="A32" s="79"/>
      <c r="B32" s="79"/>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89" t="s">
        <v>165</v>
      </c>
      <c r="B1" s="90" t="str">
        <f>'Required Info'!B4</f>
        <v/>
      </c>
      <c r="C1" s="91" t="s">
        <v>166</v>
      </c>
      <c r="D1" s="92" t="str">
        <f>'Required Info'!D4</f>
        <v/>
      </c>
      <c r="E1" s="89" t="s">
        <v>3</v>
      </c>
      <c r="F1" s="93" t="str">
        <f>'Required Info'!F4</f>
        <v/>
      </c>
      <c r="H1" s="94"/>
    </row>
    <row r="3">
      <c r="A3" s="95" t="s">
        <v>167</v>
      </c>
    </row>
    <row r="4">
      <c r="A4" s="96" t="s">
        <v>168</v>
      </c>
    </row>
    <row r="7">
      <c r="M7" s="97" t="s">
        <v>169</v>
      </c>
    </row>
    <row r="10">
      <c r="M10" s="97" t="s">
        <v>170</v>
      </c>
    </row>
    <row r="14">
      <c r="M14" s="97"/>
    </row>
  </sheetData>
  <mergeCells count="6">
    <mergeCell ref="I1:L3"/>
    <mergeCell ref="A3:F3"/>
    <mergeCell ref="A4:F4"/>
    <mergeCell ref="M7:O9"/>
    <mergeCell ref="M10:O12"/>
    <mergeCell ref="M14:O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171</v>
      </c>
      <c r="C1" s="89" t="s">
        <v>172</v>
      </c>
      <c r="E1" s="89" t="s">
        <v>173</v>
      </c>
    </row>
    <row r="3">
      <c r="A3" s="98" t="s">
        <v>174</v>
      </c>
    </row>
    <row r="4">
      <c r="A4" s="96" t="s">
        <v>175</v>
      </c>
      <c r="B4" s="99"/>
      <c r="C4" s="99"/>
      <c r="D4" s="99"/>
      <c r="E4" s="9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176</v>
      </c>
    </row>
    <row r="5">
      <c r="A5" s="100" t="s">
        <v>177</v>
      </c>
    </row>
    <row r="6" ht="121.5" customHeight="1"/>
    <row r="8">
      <c r="A8" s="101" t="str">
        <f>HYPERLINK("http://hauevalleyweddings.com/faqs/","Answers to many FAQs can be found here: http://hauevalleyweddings.com/faqs/")</f>
        <v>Answers to many FAQs can be found here: http://hauevalleyweddings.com/faqs/</v>
      </c>
    </row>
    <row r="10" ht="60.75" customHeight="1">
      <c r="A10" s="102" t="s">
        <v>178</v>
      </c>
      <c r="B10" s="103"/>
    </row>
    <row r="11" ht="64.5" customHeight="1">
      <c r="A11" s="104" t="s">
        <v>179</v>
      </c>
      <c r="B11" s="105"/>
      <c r="M11" s="106"/>
    </row>
    <row r="13" ht="60.75" customHeight="1">
      <c r="A13" s="102" t="s">
        <v>178</v>
      </c>
      <c r="B13" s="103"/>
    </row>
    <row r="14" ht="64.5" customHeight="1">
      <c r="A14" s="104" t="s">
        <v>179</v>
      </c>
      <c r="B14" s="105"/>
    </row>
    <row r="16" ht="60.75" customHeight="1">
      <c r="A16" s="102" t="s">
        <v>178</v>
      </c>
      <c r="B16" s="103"/>
    </row>
    <row r="17" ht="64.5" customHeight="1">
      <c r="A17" s="104" t="s">
        <v>179</v>
      </c>
      <c r="B17" s="105"/>
    </row>
    <row r="19" ht="60.75" customHeight="1">
      <c r="A19" s="102" t="s">
        <v>178</v>
      </c>
      <c r="B19" s="103"/>
    </row>
    <row r="20" ht="64.5" customHeight="1">
      <c r="A20" s="104" t="s">
        <v>179</v>
      </c>
      <c r="B20" s="105"/>
    </row>
    <row r="22" ht="60.75" customHeight="1">
      <c r="A22" s="102" t="s">
        <v>178</v>
      </c>
      <c r="B22" s="103"/>
    </row>
    <row r="23" ht="64.5" customHeight="1">
      <c r="A23" s="104" t="s">
        <v>179</v>
      </c>
      <c r="B23" s="105"/>
    </row>
    <row r="25" ht="60.75" customHeight="1">
      <c r="A25" s="102" t="s">
        <v>178</v>
      </c>
      <c r="B25" s="103"/>
    </row>
    <row r="26" ht="64.5" customHeight="1">
      <c r="A26" s="104" t="s">
        <v>179</v>
      </c>
      <c r="B26" s="105"/>
    </row>
    <row r="28" ht="60.75" customHeight="1">
      <c r="A28" s="102" t="s">
        <v>178</v>
      </c>
      <c r="B28" s="103"/>
    </row>
    <row r="29" ht="64.5" customHeight="1">
      <c r="A29" s="104" t="s">
        <v>179</v>
      </c>
      <c r="B29" s="105"/>
    </row>
    <row r="31" ht="60.75" customHeight="1">
      <c r="A31" s="102" t="s">
        <v>178</v>
      </c>
      <c r="B31" s="103"/>
    </row>
    <row r="32" ht="64.5" customHeight="1">
      <c r="A32" s="104" t="s">
        <v>179</v>
      </c>
      <c r="B32" s="105"/>
    </row>
    <row r="34" ht="60.75" customHeight="1">
      <c r="A34" s="102" t="s">
        <v>178</v>
      </c>
      <c r="B34" s="103"/>
    </row>
    <row r="35" ht="64.5" customHeight="1">
      <c r="A35" s="104" t="s">
        <v>179</v>
      </c>
      <c r="B35" s="105"/>
    </row>
    <row r="37" ht="60.75" customHeight="1">
      <c r="A37" s="102" t="s">
        <v>178</v>
      </c>
      <c r="B37" s="103"/>
    </row>
    <row r="38" ht="64.5" customHeight="1">
      <c r="A38" s="104" t="s">
        <v>179</v>
      </c>
      <c r="B38" s="105"/>
    </row>
    <row r="40" ht="60.75" customHeight="1">
      <c r="A40" s="102" t="s">
        <v>178</v>
      </c>
      <c r="B40" s="103"/>
    </row>
    <row r="41" ht="64.5" customHeight="1">
      <c r="A41" s="104" t="s">
        <v>179</v>
      </c>
      <c r="B41" s="105"/>
    </row>
    <row r="43" ht="60.75" customHeight="1">
      <c r="A43" s="102" t="s">
        <v>178</v>
      </c>
      <c r="B43" s="103"/>
    </row>
    <row r="44" ht="64.5" customHeight="1">
      <c r="A44" s="104" t="s">
        <v>179</v>
      </c>
      <c r="B44" s="105"/>
    </row>
    <row r="46" ht="60.75" customHeight="1">
      <c r="A46" s="102" t="s">
        <v>178</v>
      </c>
      <c r="B46" s="103"/>
    </row>
    <row r="47" ht="64.5" customHeight="1">
      <c r="A47" s="104" t="s">
        <v>179</v>
      </c>
      <c r="B47" s="105"/>
    </row>
    <row r="49" ht="60.75" customHeight="1">
      <c r="A49" s="102" t="s">
        <v>178</v>
      </c>
      <c r="B49" s="103"/>
    </row>
    <row r="50" ht="64.5" customHeight="1">
      <c r="A50" s="104" t="s">
        <v>179</v>
      </c>
      <c r="B50" s="105"/>
    </row>
    <row r="52" ht="60.75" customHeight="1">
      <c r="A52" s="102" t="s">
        <v>178</v>
      </c>
      <c r="B52" s="103"/>
    </row>
    <row r="53" ht="64.5" customHeight="1">
      <c r="A53" s="104" t="s">
        <v>179</v>
      </c>
      <c r="B53" s="105"/>
    </row>
    <row r="55" ht="60.75" customHeight="1">
      <c r="A55" s="102" t="s">
        <v>178</v>
      </c>
      <c r="B55" s="103"/>
    </row>
    <row r="56" ht="64.5" customHeight="1">
      <c r="A56" s="104" t="s">
        <v>179</v>
      </c>
      <c r="B56" s="105"/>
    </row>
    <row r="58" ht="60.75" customHeight="1">
      <c r="A58" s="102" t="s">
        <v>178</v>
      </c>
      <c r="B58" s="103"/>
    </row>
    <row r="59" ht="64.5" customHeight="1">
      <c r="A59" s="104" t="s">
        <v>179</v>
      </c>
      <c r="B59" s="105"/>
    </row>
    <row r="61" ht="60.75" customHeight="1">
      <c r="A61" s="102" t="s">
        <v>178</v>
      </c>
      <c r="B61" s="103"/>
    </row>
    <row r="62" ht="64.5" customHeight="1">
      <c r="A62" s="104" t="s">
        <v>179</v>
      </c>
      <c r="B62" s="105"/>
    </row>
    <row r="64" ht="60.75" customHeight="1">
      <c r="A64" s="102" t="s">
        <v>178</v>
      </c>
      <c r="B64" s="103"/>
    </row>
    <row r="65" ht="64.5" customHeight="1">
      <c r="A65" s="104" t="s">
        <v>179</v>
      </c>
      <c r="B65" s="105"/>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95" t="s">
        <v>180</v>
      </c>
    </row>
    <row r="4">
      <c r="A4" s="30" t="s">
        <v>181</v>
      </c>
      <c r="C4" s="2"/>
      <c r="D4" s="2"/>
      <c r="E4" s="2"/>
      <c r="F4" s="2"/>
    </row>
    <row r="5">
      <c r="A5" s="107" t="s">
        <v>182</v>
      </c>
    </row>
    <row r="9">
      <c r="A9" s="108" t="s">
        <v>183</v>
      </c>
      <c r="B9" s="109"/>
    </row>
    <row r="10" ht="61.5" customHeight="1">
      <c r="A10" s="108" t="s">
        <v>184</v>
      </c>
      <c r="B10" s="110"/>
    </row>
    <row r="11" ht="70.5" customHeight="1">
      <c r="A11" s="108" t="s">
        <v>185</v>
      </c>
      <c r="B11" s="103"/>
    </row>
    <row r="12">
      <c r="A12" s="108" t="s">
        <v>186</v>
      </c>
      <c r="B12" s="110"/>
    </row>
    <row r="13" ht="69.75" customHeight="1">
      <c r="A13" s="108" t="s">
        <v>187</v>
      </c>
      <c r="B13" s="103"/>
    </row>
    <row r="14" ht="60.0" customHeight="1">
      <c r="A14" s="108" t="s">
        <v>188</v>
      </c>
      <c r="B14" s="110"/>
    </row>
    <row r="15" ht="70.5" customHeight="1">
      <c r="A15" s="108" t="s">
        <v>189</v>
      </c>
      <c r="B15" s="103"/>
    </row>
    <row r="16" ht="70.5" customHeight="1">
      <c r="A16" s="108" t="s">
        <v>190</v>
      </c>
      <c r="B16" s="110"/>
    </row>
    <row r="17" ht="84.75" customHeight="1">
      <c r="A17" s="108" t="s">
        <v>191</v>
      </c>
      <c r="B17" s="103"/>
    </row>
    <row r="18" ht="84.75" customHeight="1">
      <c r="A18" s="108" t="s">
        <v>192</v>
      </c>
      <c r="B18" s="103"/>
      <c r="C18" s="103"/>
      <c r="D18" s="103"/>
      <c r="E18" s="103"/>
      <c r="F18" s="103"/>
      <c r="G18" s="103"/>
      <c r="H18" s="103"/>
      <c r="I18" s="103"/>
    </row>
    <row r="19">
      <c r="A19" s="108" t="s">
        <v>193</v>
      </c>
      <c r="B19" s="105"/>
    </row>
    <row r="20">
      <c r="A20" s="49"/>
    </row>
    <row r="21">
      <c r="A21" s="49"/>
    </row>
    <row r="22">
      <c r="A22" s="49"/>
    </row>
    <row r="23">
      <c r="A23" s="49"/>
    </row>
    <row r="24">
      <c r="A24" s="49"/>
    </row>
    <row r="25">
      <c r="A25" s="49"/>
    </row>
    <row r="26">
      <c r="A26" s="49"/>
    </row>
    <row r="27">
      <c r="A27" s="49"/>
    </row>
    <row r="28">
      <c r="A28" s="49"/>
    </row>
    <row r="29">
      <c r="A29" s="49"/>
    </row>
    <row r="30">
      <c r="A30" s="49"/>
    </row>
    <row r="31">
      <c r="A31" s="49"/>
    </row>
    <row r="32">
      <c r="A32" s="49"/>
    </row>
    <row r="33">
      <c r="A33" s="49"/>
    </row>
    <row r="34">
      <c r="A34" s="49"/>
    </row>
    <row r="35">
      <c r="A35" s="49"/>
    </row>
    <row r="36">
      <c r="A36" s="49"/>
    </row>
    <row r="37">
      <c r="A37" s="49"/>
    </row>
    <row r="38">
      <c r="A38" s="49"/>
    </row>
    <row r="39">
      <c r="A39" s="49"/>
    </row>
    <row r="40">
      <c r="A40" s="49"/>
    </row>
    <row r="41">
      <c r="A41" s="49"/>
    </row>
    <row r="42">
      <c r="A42" s="49"/>
    </row>
    <row r="43">
      <c r="A43" s="49"/>
    </row>
    <row r="44">
      <c r="A44" s="49"/>
    </row>
    <row r="45">
      <c r="A45" s="49"/>
    </row>
    <row r="46">
      <c r="A46" s="49"/>
    </row>
    <row r="47">
      <c r="A47" s="49"/>
    </row>
    <row r="48">
      <c r="A48" s="49"/>
    </row>
    <row r="49">
      <c r="A49" s="49"/>
    </row>
    <row r="50">
      <c r="A50" s="49"/>
    </row>
    <row r="51">
      <c r="A51" s="49"/>
    </row>
    <row r="52">
      <c r="A52" s="49"/>
    </row>
    <row r="53">
      <c r="A53" s="49"/>
    </row>
    <row r="54">
      <c r="A54" s="49"/>
    </row>
    <row r="55">
      <c r="A55" s="49"/>
    </row>
    <row r="56">
      <c r="A56" s="49"/>
    </row>
    <row r="57">
      <c r="A57" s="49"/>
    </row>
    <row r="58">
      <c r="A58" s="49"/>
    </row>
    <row r="59">
      <c r="A59" s="49"/>
    </row>
    <row r="60">
      <c r="A60" s="49"/>
    </row>
    <row r="61">
      <c r="A61" s="49"/>
    </row>
    <row r="62">
      <c r="A62" s="49"/>
    </row>
    <row r="63">
      <c r="A63" s="49"/>
    </row>
    <row r="64">
      <c r="A64" s="49"/>
    </row>
    <row r="65">
      <c r="A65" s="49"/>
    </row>
    <row r="66">
      <c r="A66" s="49"/>
    </row>
    <row r="67">
      <c r="A67" s="49"/>
    </row>
    <row r="68">
      <c r="A68" s="49"/>
    </row>
    <row r="69">
      <c r="A69" s="49"/>
    </row>
    <row r="70">
      <c r="A70" s="49"/>
    </row>
    <row r="71">
      <c r="A71" s="49"/>
    </row>
    <row r="72">
      <c r="A72" s="49"/>
    </row>
    <row r="73">
      <c r="A73" s="49"/>
    </row>
    <row r="74">
      <c r="A74" s="49"/>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11"/>
      <c r="B1" s="2"/>
      <c r="C1" s="2"/>
      <c r="D1" s="2"/>
      <c r="E1" s="2"/>
      <c r="F1" s="2"/>
      <c r="G1" s="2"/>
      <c r="H1" s="2"/>
      <c r="I1" s="2"/>
      <c r="J1" s="2"/>
      <c r="K1" s="2"/>
      <c r="L1" s="2"/>
      <c r="M1" s="2"/>
      <c r="N1" s="2"/>
      <c r="O1" s="2"/>
      <c r="P1" s="2"/>
      <c r="Q1" s="2"/>
      <c r="R1" s="2"/>
      <c r="S1" s="2"/>
      <c r="T1" s="2"/>
      <c r="U1" s="2"/>
      <c r="V1" s="2"/>
      <c r="W1" s="2"/>
      <c r="X1" s="2"/>
      <c r="Y1" s="2"/>
      <c r="Z1" s="2"/>
      <c r="AA1" s="2"/>
      <c r="AB1" s="2"/>
      <c r="AC1" s="2"/>
    </row>
    <row r="2">
      <c r="A2" s="95" t="s">
        <v>194</v>
      </c>
      <c r="I2" s="2"/>
      <c r="J2" s="2"/>
      <c r="K2" s="2"/>
      <c r="L2" s="2"/>
      <c r="M2" s="2"/>
      <c r="N2" s="2"/>
      <c r="O2" s="2"/>
      <c r="P2" s="2"/>
      <c r="Q2" s="2"/>
      <c r="R2" s="2"/>
      <c r="S2" s="2"/>
      <c r="T2" s="2"/>
      <c r="U2" s="2"/>
      <c r="V2" s="2"/>
      <c r="W2" s="2"/>
      <c r="X2" s="2"/>
      <c r="Y2" s="2"/>
      <c r="Z2" s="2"/>
      <c r="AA2" s="2"/>
      <c r="AB2" s="2"/>
      <c r="AC2" s="2"/>
    </row>
    <row r="3">
      <c r="A3" s="29"/>
      <c r="B3" s="2"/>
      <c r="C3" s="2"/>
      <c r="D3" s="2"/>
      <c r="E3" s="2"/>
      <c r="F3" s="2"/>
      <c r="G3" s="2"/>
      <c r="H3" s="2"/>
      <c r="I3" s="2"/>
      <c r="J3" s="2"/>
      <c r="K3" s="2"/>
      <c r="L3" s="2"/>
      <c r="M3" s="2"/>
      <c r="N3" s="2"/>
      <c r="O3" s="2"/>
      <c r="P3" s="2"/>
      <c r="Q3" s="2"/>
      <c r="R3" s="2"/>
      <c r="S3" s="2"/>
      <c r="T3" s="2"/>
      <c r="U3" s="2"/>
      <c r="V3" s="2"/>
      <c r="W3" s="2"/>
      <c r="X3" s="2"/>
      <c r="Y3" s="2"/>
      <c r="Z3" s="2"/>
      <c r="AA3" s="2"/>
      <c r="AB3" s="2"/>
      <c r="AC3" s="2"/>
    </row>
    <row r="4">
      <c r="A4" s="30" t="s">
        <v>181</v>
      </c>
      <c r="C4" s="41" t="s">
        <v>195</v>
      </c>
      <c r="D4" s="2"/>
      <c r="E4" s="2"/>
      <c r="F4" s="2"/>
      <c r="G4" s="2"/>
      <c r="H4" s="2"/>
      <c r="I4" s="2"/>
      <c r="J4" s="2"/>
      <c r="K4" s="2"/>
      <c r="L4" s="2"/>
      <c r="M4" s="2"/>
      <c r="N4" s="2"/>
      <c r="O4" s="2"/>
      <c r="P4" s="2"/>
      <c r="Q4" s="2"/>
      <c r="R4" s="2"/>
      <c r="S4" s="2"/>
      <c r="T4" s="2"/>
      <c r="U4" s="2"/>
      <c r="V4" s="2"/>
      <c r="W4" s="2"/>
      <c r="X4" s="2"/>
      <c r="Y4" s="2"/>
      <c r="Z4" s="2"/>
      <c r="AA4" s="2"/>
      <c r="AB4" s="2"/>
      <c r="AC4" s="2"/>
    </row>
    <row r="5">
      <c r="A5" s="107" t="s">
        <v>196</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29"/>
      <c r="B8" s="112" t="s">
        <v>197</v>
      </c>
      <c r="C8" s="112" t="s">
        <v>198</v>
      </c>
      <c r="D8" s="112" t="s">
        <v>199</v>
      </c>
      <c r="E8" s="112" t="s">
        <v>200</v>
      </c>
      <c r="F8" s="30" t="s">
        <v>201</v>
      </c>
      <c r="G8" s="2"/>
      <c r="H8" s="2"/>
      <c r="I8" s="2"/>
      <c r="J8" s="2"/>
      <c r="K8" s="2"/>
      <c r="L8" s="2"/>
      <c r="M8" s="2"/>
      <c r="N8" s="2"/>
      <c r="O8" s="2"/>
      <c r="P8" s="2"/>
      <c r="Q8" s="2"/>
      <c r="R8" s="2"/>
      <c r="S8" s="2"/>
      <c r="T8" s="2"/>
      <c r="U8" s="2"/>
      <c r="V8" s="2"/>
      <c r="W8" s="2"/>
      <c r="X8" s="2"/>
      <c r="Y8" s="2"/>
      <c r="Z8" s="2"/>
      <c r="AA8" s="2"/>
      <c r="AB8" s="2"/>
      <c r="AC8" s="2"/>
    </row>
    <row r="9">
      <c r="A9" s="29" t="s">
        <v>202</v>
      </c>
      <c r="B9" s="2"/>
      <c r="C9" s="2"/>
      <c r="D9" s="2"/>
      <c r="E9" s="2"/>
      <c r="F9" s="2"/>
      <c r="G9" s="2"/>
      <c r="H9" s="2"/>
      <c r="I9" s="2"/>
      <c r="J9" s="2"/>
      <c r="K9" s="2"/>
      <c r="L9" s="2"/>
      <c r="M9" s="2"/>
      <c r="N9" s="2"/>
      <c r="O9" s="2"/>
      <c r="P9" s="2"/>
      <c r="Q9" s="2"/>
      <c r="R9" s="2"/>
      <c r="S9" s="2"/>
      <c r="T9" s="2"/>
      <c r="U9" s="2"/>
      <c r="V9" s="2"/>
      <c r="W9" s="2"/>
      <c r="X9" s="2"/>
      <c r="Y9" s="2"/>
      <c r="Z9" s="2"/>
      <c r="AA9" s="2"/>
      <c r="AB9" s="2"/>
      <c r="AC9" s="2"/>
    </row>
    <row r="10">
      <c r="A10" s="29" t="s">
        <v>203</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29" t="s">
        <v>204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29" t="s">
        <v>205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29" t="s">
        <v>206</v>
      </c>
      <c r="B13" s="2"/>
      <c r="C13" s="42"/>
      <c r="D13" s="42"/>
      <c r="E13" s="42"/>
      <c r="F13" s="42" t="s">
        <v>207</v>
      </c>
      <c r="G13" s="2"/>
      <c r="H13" s="2"/>
      <c r="I13" s="2"/>
      <c r="J13" s="2"/>
      <c r="K13" s="2"/>
      <c r="L13" s="2"/>
      <c r="M13" s="2"/>
      <c r="N13" s="2"/>
      <c r="O13" s="2"/>
      <c r="P13" s="2"/>
      <c r="Q13" s="2"/>
      <c r="R13" s="2"/>
      <c r="S13" s="2"/>
      <c r="T13" s="2"/>
      <c r="U13" s="2"/>
      <c r="V13" s="2"/>
      <c r="W13" s="2"/>
      <c r="X13" s="2"/>
      <c r="Y13" s="2"/>
      <c r="Z13" s="2"/>
      <c r="AA13" s="2"/>
      <c r="AB13" s="2"/>
      <c r="AC13" s="2"/>
    </row>
    <row r="14">
      <c r="A14" s="29" t="s">
        <v>208</v>
      </c>
      <c r="B14" s="2"/>
      <c r="C14" s="42"/>
      <c r="D14" s="42"/>
      <c r="E14" s="42"/>
      <c r="F14" s="42"/>
      <c r="G14" s="2"/>
      <c r="H14" s="2"/>
      <c r="I14" s="2"/>
      <c r="J14" s="2"/>
      <c r="K14" s="2"/>
      <c r="L14" s="2"/>
      <c r="M14" s="2"/>
      <c r="N14" s="2"/>
      <c r="O14" s="2"/>
      <c r="P14" s="2"/>
      <c r="Q14" s="2"/>
      <c r="R14" s="2"/>
      <c r="S14" s="2"/>
      <c r="T14" s="2"/>
      <c r="U14" s="2"/>
      <c r="V14" s="2"/>
      <c r="W14" s="2"/>
      <c r="X14" s="2"/>
      <c r="Y14" s="2"/>
      <c r="Z14" s="2"/>
      <c r="AA14" s="2"/>
      <c r="AB14" s="2"/>
      <c r="AC14" s="2"/>
    </row>
    <row r="15">
      <c r="A15" s="113" t="s">
        <v>209</v>
      </c>
      <c r="B15" s="114" t="str">
        <f>'Required Info'!B16</f>
        <v/>
      </c>
      <c r="C15" s="37"/>
      <c r="D15" s="37"/>
      <c r="E15" s="37"/>
      <c r="F15" s="115" t="s">
        <v>210</v>
      </c>
      <c r="G15" s="2"/>
      <c r="H15" s="2"/>
      <c r="I15" s="2"/>
      <c r="J15" s="2"/>
      <c r="K15" s="2"/>
      <c r="L15" s="2"/>
      <c r="M15" s="2"/>
      <c r="N15" s="2"/>
      <c r="O15" s="2"/>
      <c r="P15" s="2"/>
      <c r="Q15" s="2"/>
      <c r="R15" s="2"/>
      <c r="S15" s="2"/>
      <c r="T15" s="2"/>
      <c r="U15" s="2"/>
      <c r="V15" s="2"/>
      <c r="W15" s="2"/>
      <c r="X15" s="2"/>
      <c r="Y15" s="2"/>
      <c r="Z15" s="2"/>
      <c r="AA15" s="2"/>
      <c r="AB15" s="2"/>
      <c r="AC15" s="2"/>
    </row>
    <row r="16">
      <c r="A16" s="29" t="s">
        <v>19</v>
      </c>
      <c r="B16" s="2"/>
      <c r="C16" s="41"/>
      <c r="D16" s="41"/>
      <c r="E16" s="41"/>
      <c r="F16" s="41" t="s">
        <v>211</v>
      </c>
      <c r="G16" s="2"/>
      <c r="H16" s="2"/>
      <c r="I16" s="2"/>
      <c r="J16" s="2"/>
      <c r="K16" s="2"/>
      <c r="L16" s="2"/>
      <c r="M16" s="2"/>
      <c r="N16" s="2"/>
      <c r="O16" s="2"/>
      <c r="P16" s="2"/>
      <c r="Q16" s="2"/>
      <c r="R16" s="2"/>
      <c r="S16" s="2"/>
      <c r="T16" s="2"/>
      <c r="U16" s="2"/>
      <c r="V16" s="2"/>
      <c r="W16" s="2"/>
      <c r="X16" s="2"/>
      <c r="Y16" s="2"/>
      <c r="Z16" s="2"/>
      <c r="AA16" s="2"/>
      <c r="AB16" s="2"/>
      <c r="AC16" s="2"/>
    </row>
    <row r="17">
      <c r="A17" s="29" t="s">
        <v>212</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29" t="s">
        <v>213</v>
      </c>
      <c r="B18" s="2"/>
      <c r="C18" s="2"/>
      <c r="D18" s="41"/>
      <c r="E18" s="41"/>
      <c r="F18" s="41" t="s">
        <v>214</v>
      </c>
      <c r="G18" s="2"/>
      <c r="H18" s="2"/>
      <c r="I18" s="2"/>
      <c r="J18" s="2"/>
      <c r="K18" s="2"/>
      <c r="L18" s="2"/>
      <c r="M18" s="2"/>
      <c r="N18" s="2"/>
      <c r="O18" s="2"/>
      <c r="P18" s="2"/>
      <c r="Q18" s="2"/>
      <c r="R18" s="2"/>
      <c r="S18" s="2"/>
      <c r="T18" s="2"/>
      <c r="U18" s="2"/>
      <c r="V18" s="2"/>
      <c r="W18" s="2"/>
      <c r="X18" s="2"/>
      <c r="Y18" s="2"/>
      <c r="Z18" s="2"/>
      <c r="AA18" s="2"/>
      <c r="AB18" s="2"/>
      <c r="AC18" s="2"/>
    </row>
    <row r="19">
      <c r="A19" s="29" t="s">
        <v>215</v>
      </c>
      <c r="B19" s="2"/>
      <c r="C19" s="2"/>
      <c r="D19" s="41"/>
      <c r="E19" s="41"/>
      <c r="F19" s="41" t="s">
        <v>214</v>
      </c>
      <c r="G19" s="2"/>
      <c r="H19" s="2"/>
      <c r="I19" s="2"/>
      <c r="J19" s="2"/>
      <c r="K19" s="2"/>
      <c r="L19" s="2"/>
      <c r="M19" s="2"/>
      <c r="N19" s="2"/>
      <c r="O19" s="2"/>
      <c r="P19" s="2"/>
      <c r="Q19" s="2"/>
      <c r="R19" s="2"/>
      <c r="S19" s="2"/>
      <c r="T19" s="2"/>
      <c r="U19" s="2"/>
      <c r="V19" s="2"/>
      <c r="W19" s="2"/>
      <c r="X19" s="2"/>
      <c r="Y19" s="2"/>
      <c r="Z19" s="2"/>
      <c r="AA19" s="2"/>
      <c r="AB19" s="2"/>
      <c r="AC19" s="2"/>
    </row>
    <row r="20">
      <c r="A20" s="29" t="s">
        <v>216</v>
      </c>
      <c r="B20" s="2"/>
      <c r="C20" s="2"/>
      <c r="D20" s="41"/>
      <c r="E20" s="41"/>
      <c r="F20" s="41" t="s">
        <v>214</v>
      </c>
      <c r="G20" s="2"/>
      <c r="H20" s="2"/>
      <c r="I20" s="2"/>
      <c r="J20" s="2"/>
      <c r="K20" s="2"/>
      <c r="L20" s="2"/>
      <c r="M20" s="2"/>
      <c r="N20" s="2"/>
      <c r="O20" s="2"/>
      <c r="P20" s="2"/>
      <c r="Q20" s="2"/>
      <c r="R20" s="2"/>
      <c r="S20" s="2"/>
      <c r="T20" s="2"/>
      <c r="U20" s="2"/>
      <c r="V20" s="2"/>
      <c r="W20" s="2"/>
      <c r="X20" s="2"/>
      <c r="Y20" s="2"/>
      <c r="Z20" s="2"/>
      <c r="AA20" s="2"/>
      <c r="AB20" s="2"/>
      <c r="AC20" s="2"/>
    </row>
    <row r="21">
      <c r="A21" s="29" t="s">
        <v>217</v>
      </c>
      <c r="B21" s="2"/>
      <c r="C21" s="2"/>
      <c r="D21" s="41"/>
      <c r="E21" s="41"/>
      <c r="F21" s="41" t="s">
        <v>214</v>
      </c>
      <c r="G21" s="2"/>
      <c r="H21" s="2"/>
      <c r="I21" s="2"/>
      <c r="J21" s="2"/>
      <c r="K21" s="2"/>
      <c r="L21" s="2"/>
      <c r="M21" s="2"/>
      <c r="N21" s="2"/>
      <c r="O21" s="2"/>
      <c r="P21" s="2"/>
      <c r="Q21" s="2"/>
      <c r="R21" s="2"/>
      <c r="S21" s="2"/>
      <c r="T21" s="2"/>
      <c r="U21" s="2"/>
      <c r="V21" s="2"/>
      <c r="W21" s="2"/>
      <c r="X21" s="2"/>
      <c r="Y21" s="2"/>
      <c r="Z21" s="2"/>
      <c r="AA21" s="2"/>
      <c r="AB21" s="2"/>
      <c r="AC21" s="2"/>
    </row>
    <row r="22">
      <c r="A22" s="29" t="s">
        <v>218</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29" t="s">
        <v>219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9" t="s">
        <v>220</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9" t="s">
        <v>221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9" t="s">
        <v>222</v>
      </c>
      <c r="B26" s="2"/>
      <c r="C26" s="41"/>
      <c r="D26" s="41"/>
      <c r="E26" s="41"/>
      <c r="F26" s="41" t="s">
        <v>214</v>
      </c>
      <c r="G26" s="2"/>
      <c r="H26" s="2"/>
      <c r="I26" s="2"/>
      <c r="J26" s="2"/>
      <c r="K26" s="2"/>
      <c r="L26" s="2"/>
      <c r="M26" s="2"/>
      <c r="N26" s="2"/>
      <c r="O26" s="2"/>
      <c r="P26" s="2"/>
      <c r="Q26" s="2"/>
      <c r="R26" s="2"/>
      <c r="S26" s="2"/>
      <c r="T26" s="2"/>
      <c r="U26" s="2"/>
      <c r="V26" s="2"/>
      <c r="W26" s="2"/>
      <c r="X26" s="2"/>
      <c r="Y26" s="2"/>
      <c r="Z26" s="2"/>
      <c r="AA26" s="2"/>
      <c r="AB26" s="2"/>
      <c r="AC26" s="2"/>
    </row>
    <row r="27">
      <c r="A27" s="29" t="s">
        <v>223</v>
      </c>
      <c r="B27" s="2"/>
      <c r="C27" s="41"/>
      <c r="D27" s="41"/>
      <c r="E27" s="41"/>
      <c r="F27" s="41"/>
      <c r="G27" s="2"/>
      <c r="H27" s="2"/>
      <c r="I27" s="2"/>
      <c r="J27" s="2"/>
      <c r="K27" s="2"/>
      <c r="L27" s="2"/>
      <c r="M27" s="2"/>
      <c r="N27" s="2"/>
      <c r="O27" s="2"/>
      <c r="P27" s="2"/>
      <c r="Q27" s="2"/>
      <c r="R27" s="2"/>
      <c r="S27" s="2"/>
      <c r="T27" s="2"/>
      <c r="U27" s="2"/>
      <c r="V27" s="2"/>
      <c r="W27" s="2"/>
      <c r="X27" s="2"/>
      <c r="Y27" s="2"/>
      <c r="Z27" s="2"/>
      <c r="AA27" s="2"/>
      <c r="AB27" s="2"/>
      <c r="AC27" s="2"/>
    </row>
    <row r="28">
      <c r="A28" s="29" t="s">
        <v>21</v>
      </c>
      <c r="B28" s="2"/>
      <c r="C28" s="41"/>
      <c r="D28" s="41"/>
      <c r="E28" s="41"/>
      <c r="F28" s="41" t="s">
        <v>224</v>
      </c>
      <c r="G28" s="2"/>
      <c r="H28" s="2"/>
      <c r="I28" s="2"/>
      <c r="J28" s="2"/>
      <c r="K28" s="2"/>
      <c r="L28" s="2"/>
      <c r="M28" s="2"/>
      <c r="N28" s="2"/>
      <c r="O28" s="2"/>
      <c r="P28" s="2"/>
      <c r="Q28" s="2"/>
      <c r="R28" s="2"/>
      <c r="S28" s="2"/>
      <c r="T28" s="2"/>
      <c r="U28" s="2"/>
      <c r="V28" s="2"/>
      <c r="W28" s="2"/>
      <c r="X28" s="2"/>
      <c r="Y28" s="2"/>
      <c r="Z28" s="2"/>
      <c r="AA28" s="2"/>
      <c r="AB28" s="2"/>
      <c r="AC28" s="2"/>
    </row>
    <row r="29">
      <c r="A29" s="29" t="s">
        <v>225</v>
      </c>
      <c r="B29" s="2"/>
      <c r="C29" s="41"/>
      <c r="D29" s="41"/>
      <c r="E29" s="41"/>
      <c r="F29" s="41"/>
      <c r="G29" s="2"/>
      <c r="H29" s="2"/>
      <c r="I29" s="2"/>
      <c r="J29" s="2"/>
      <c r="K29" s="2"/>
      <c r="L29" s="2"/>
      <c r="M29" s="2"/>
      <c r="N29" s="2"/>
      <c r="O29" s="2"/>
      <c r="P29" s="2"/>
      <c r="Q29" s="2"/>
      <c r="R29" s="2"/>
      <c r="S29" s="2"/>
      <c r="T29" s="2"/>
      <c r="U29" s="2"/>
      <c r="V29" s="2"/>
      <c r="W29" s="2"/>
      <c r="X29" s="2"/>
      <c r="Y29" s="2"/>
      <c r="Z29" s="2"/>
      <c r="AA29" s="2"/>
      <c r="AB29" s="2"/>
      <c r="AC29" s="2"/>
    </row>
    <row r="30">
      <c r="A30" s="29" t="s">
        <v>22</v>
      </c>
      <c r="B30" s="2"/>
      <c r="C30" s="41"/>
      <c r="D30" s="41"/>
      <c r="E30" s="41"/>
      <c r="F30" s="41" t="s">
        <v>226</v>
      </c>
      <c r="G30" s="2"/>
      <c r="H30" s="2"/>
      <c r="I30" s="2"/>
      <c r="J30" s="2"/>
      <c r="K30" s="2"/>
      <c r="L30" s="2"/>
      <c r="M30" s="2"/>
      <c r="N30" s="2"/>
      <c r="O30" s="2"/>
      <c r="P30" s="2"/>
      <c r="Q30" s="2"/>
      <c r="R30" s="2"/>
      <c r="S30" s="2"/>
      <c r="T30" s="2"/>
      <c r="U30" s="2"/>
      <c r="V30" s="2"/>
      <c r="W30" s="2"/>
      <c r="X30" s="2"/>
      <c r="Y30" s="2"/>
      <c r="Z30" s="2"/>
      <c r="AA30" s="2"/>
      <c r="AB30" s="2"/>
      <c r="AC30" s="2"/>
    </row>
    <row r="31">
      <c r="A31" s="29" t="s">
        <v>227</v>
      </c>
      <c r="B31" s="2"/>
      <c r="C31" s="41"/>
      <c r="D31" s="41"/>
      <c r="E31" s="41"/>
      <c r="F31" s="41" t="s">
        <v>228</v>
      </c>
      <c r="G31" s="2"/>
      <c r="H31" s="2"/>
      <c r="I31" s="2"/>
      <c r="J31" s="2"/>
      <c r="K31" s="2"/>
      <c r="L31" s="2"/>
      <c r="M31" s="2"/>
      <c r="N31" s="2"/>
      <c r="O31" s="2"/>
      <c r="P31" s="2"/>
      <c r="Q31" s="2"/>
      <c r="R31" s="2"/>
      <c r="S31" s="2"/>
      <c r="T31" s="2"/>
      <c r="U31" s="2"/>
      <c r="V31" s="2"/>
      <c r="W31" s="2"/>
      <c r="X31" s="2"/>
      <c r="Y31" s="2"/>
      <c r="Z31" s="2"/>
      <c r="AA31" s="2"/>
      <c r="AB31" s="2"/>
      <c r="AC31" s="2"/>
    </row>
    <row r="32">
      <c r="A32" s="29" t="s">
        <v>229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9" t="s">
        <v>230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9" t="s">
        <v>25</v>
      </c>
      <c r="B34" s="2"/>
      <c r="C34" s="2"/>
      <c r="D34" s="2"/>
      <c r="E34" s="2"/>
      <c r="F34" s="41" t="s">
        <v>231</v>
      </c>
      <c r="G34" s="2"/>
      <c r="H34" s="2"/>
      <c r="I34" s="2"/>
      <c r="J34" s="2"/>
      <c r="K34" s="2"/>
      <c r="L34" s="2"/>
      <c r="M34" s="2"/>
      <c r="N34" s="2"/>
      <c r="O34" s="2"/>
      <c r="P34" s="2"/>
      <c r="Q34" s="2"/>
      <c r="R34" s="2"/>
      <c r="S34" s="2"/>
      <c r="T34" s="2"/>
      <c r="U34" s="2"/>
      <c r="V34" s="2"/>
      <c r="W34" s="2"/>
      <c r="X34" s="2"/>
      <c r="Y34" s="2"/>
      <c r="Z34" s="2"/>
      <c r="AA34" s="2"/>
      <c r="AB34" s="2"/>
      <c r="AC34" s="2"/>
    </row>
    <row r="35">
      <c r="A35" s="29" t="s">
        <v>232</v>
      </c>
      <c r="B35" s="2"/>
      <c r="C35" s="2"/>
      <c r="D35" s="41"/>
      <c r="E35" s="41"/>
      <c r="G35" s="2"/>
      <c r="H35" s="2"/>
      <c r="I35" s="2"/>
      <c r="J35" s="2"/>
      <c r="K35" s="2"/>
      <c r="L35" s="2"/>
      <c r="M35" s="2"/>
      <c r="N35" s="2"/>
      <c r="O35" s="2"/>
      <c r="P35" s="2"/>
      <c r="Q35" s="2"/>
      <c r="R35" s="2"/>
      <c r="S35" s="2"/>
      <c r="T35" s="2"/>
      <c r="U35" s="2"/>
      <c r="V35" s="2"/>
      <c r="W35" s="2"/>
      <c r="X35" s="2"/>
      <c r="Y35" s="2"/>
      <c r="Z35" s="2"/>
      <c r="AA35" s="2"/>
      <c r="AB35" s="2"/>
      <c r="AC35" s="2"/>
    </row>
    <row r="36">
      <c r="A36" s="29" t="s">
        <v>233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9" t="s">
        <v>234</v>
      </c>
      <c r="B37" s="2"/>
      <c r="C37" s="41"/>
      <c r="D37" s="41"/>
      <c r="E37" s="41"/>
      <c r="F37" s="41"/>
      <c r="G37" s="2"/>
      <c r="H37" s="2"/>
      <c r="I37" s="2"/>
      <c r="J37" s="2"/>
      <c r="K37" s="2"/>
      <c r="L37" s="2"/>
      <c r="M37" s="2"/>
      <c r="N37" s="2"/>
      <c r="O37" s="2"/>
      <c r="P37" s="2"/>
      <c r="Q37" s="2"/>
      <c r="R37" s="2"/>
      <c r="S37" s="2"/>
      <c r="T37" s="2"/>
      <c r="U37" s="2"/>
      <c r="V37" s="2"/>
      <c r="W37" s="2"/>
      <c r="X37" s="2"/>
      <c r="Y37" s="2"/>
      <c r="Z37" s="2"/>
      <c r="AA37" s="2"/>
      <c r="AB37" s="2"/>
      <c r="AC37" s="2"/>
    </row>
    <row r="38">
      <c r="A38" s="29" t="s">
        <v>30</v>
      </c>
      <c r="B38" s="2"/>
      <c r="C38" s="41"/>
      <c r="D38" s="41"/>
      <c r="E38" s="41"/>
      <c r="F38" s="41"/>
      <c r="G38" s="2"/>
      <c r="H38" s="2"/>
      <c r="I38" s="2"/>
      <c r="J38" s="2"/>
      <c r="K38" s="2"/>
      <c r="L38" s="2"/>
      <c r="M38" s="2"/>
      <c r="N38" s="2"/>
      <c r="O38" s="2"/>
      <c r="P38" s="2"/>
      <c r="Q38" s="2"/>
      <c r="R38" s="2"/>
      <c r="S38" s="2"/>
      <c r="T38" s="2"/>
      <c r="U38" s="2"/>
      <c r="V38" s="2"/>
      <c r="W38" s="2"/>
      <c r="X38" s="2"/>
      <c r="Y38" s="2"/>
      <c r="Z38" s="2"/>
      <c r="AA38" s="2"/>
      <c r="AB38" s="2"/>
      <c r="AC38" s="2"/>
    </row>
    <row r="39">
      <c r="A39" s="113" t="s">
        <v>235</v>
      </c>
      <c r="B39" s="114" t="str">
        <f>'Required Info'!B32</f>
        <v/>
      </c>
      <c r="C39" s="116"/>
      <c r="D39" s="37"/>
      <c r="E39" s="37"/>
      <c r="F39" s="37" t="s">
        <v>210</v>
      </c>
      <c r="G39" s="2"/>
      <c r="H39" s="2"/>
      <c r="I39" s="2"/>
      <c r="J39" s="2"/>
      <c r="K39" s="2"/>
      <c r="L39" s="2"/>
      <c r="M39" s="2"/>
      <c r="N39" s="2"/>
      <c r="O39" s="2"/>
      <c r="P39" s="2"/>
      <c r="Q39" s="2"/>
      <c r="R39" s="2"/>
      <c r="S39" s="2"/>
      <c r="T39" s="2"/>
      <c r="U39" s="2"/>
      <c r="V39" s="2"/>
      <c r="W39" s="2"/>
      <c r="X39" s="2"/>
      <c r="Y39" s="2"/>
      <c r="Z39" s="2"/>
      <c r="AA39" s="2"/>
      <c r="AB39" s="2"/>
      <c r="AC39" s="2"/>
    </row>
    <row r="40">
      <c r="A40" s="29" t="s">
        <v>236</v>
      </c>
      <c r="B40" s="117"/>
      <c r="C40" s="2"/>
      <c r="D40" s="41"/>
      <c r="E40" s="41"/>
      <c r="F40" s="41" t="s">
        <v>237</v>
      </c>
      <c r="G40" s="2"/>
      <c r="H40" s="2"/>
      <c r="I40" s="2"/>
      <c r="J40" s="2"/>
      <c r="K40" s="2"/>
      <c r="L40" s="2"/>
      <c r="M40" s="2"/>
      <c r="N40" s="2"/>
      <c r="O40" s="2"/>
      <c r="P40" s="2"/>
      <c r="Q40" s="2"/>
      <c r="R40" s="2"/>
      <c r="S40" s="2"/>
      <c r="T40" s="2"/>
      <c r="U40" s="2"/>
      <c r="V40" s="2"/>
      <c r="W40" s="2"/>
      <c r="X40" s="2"/>
      <c r="Y40" s="2"/>
      <c r="Z40" s="2"/>
      <c r="AA40" s="2"/>
      <c r="AB40" s="2"/>
      <c r="AC40" s="2"/>
    </row>
    <row r="41">
      <c r="A41" s="111"/>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111"/>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1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1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1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11"/>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1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1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1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1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1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1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1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1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1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1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1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1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1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1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1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1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1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1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1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1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1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1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1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1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1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1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1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1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1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1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11"/>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1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1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11"/>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1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11"/>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11"/>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1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11"/>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11"/>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11"/>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11"/>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1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11"/>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11"/>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11"/>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11"/>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11"/>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1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11"/>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1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1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1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1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1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1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1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1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1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1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1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1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1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1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1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1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1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1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1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1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1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1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1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1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1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1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1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1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1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1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1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1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1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1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1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1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1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1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1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1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1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1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1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1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1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1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1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1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1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1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1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1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1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1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1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1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1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1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1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1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1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1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1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1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1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1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1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1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1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1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1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1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1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1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1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1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1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1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1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1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1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1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1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1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1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1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1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1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1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1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1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1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1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1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1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1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1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1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1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1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1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1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1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1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1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1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1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1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1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1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1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1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1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1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1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1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1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1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1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1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1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1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1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1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1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1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1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1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1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1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1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1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1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1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1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1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1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1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1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1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1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1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1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1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1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1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1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1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1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1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1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1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1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1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1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1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1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1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1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1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1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1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1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1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1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1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1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1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1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1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1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1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1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1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1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1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1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1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1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1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1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1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1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1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1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1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1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1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1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1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1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1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1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1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1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1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1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1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1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1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1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1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1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1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1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1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1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1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1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1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1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1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1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1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1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1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1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1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1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1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1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1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1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1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1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1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1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1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1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1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1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1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1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1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1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1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1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1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1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1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1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1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1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1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1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1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1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1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1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1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1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1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1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1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1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1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1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1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1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1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1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1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1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1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1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1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1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1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1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1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1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1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1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1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1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1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1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1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1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1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1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1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1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1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1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1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1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1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1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1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1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1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1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1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1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1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1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1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1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1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1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1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1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1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1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1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1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1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1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1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1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1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1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1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1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1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1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1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1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1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1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1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1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1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1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1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1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1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1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1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1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1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1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1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1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1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1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1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1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1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1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1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1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1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1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1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1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1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1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1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1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1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1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1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1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1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1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1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1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1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1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1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1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1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1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1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1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1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1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1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1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1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1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1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1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1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1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1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1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1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1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1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1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1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1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1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1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1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1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1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1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1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1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1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1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1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1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1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1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1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1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1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1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1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1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1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1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1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1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1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1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1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1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1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1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1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1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1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1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1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1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1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1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1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1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1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1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1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1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1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1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1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1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1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1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1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1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1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1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1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1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1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1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1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1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1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1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1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1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1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1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1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1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1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1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1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1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1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1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1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1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1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1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1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1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1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1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1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1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1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1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1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1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1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1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1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1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1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1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1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1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1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1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1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1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1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1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1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1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1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1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1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1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1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1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1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1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1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1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1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1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1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1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1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1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1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1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1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1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1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1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1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1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1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1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1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1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1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1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1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1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1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1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1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1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1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1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1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1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1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1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1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1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1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1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1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1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1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1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1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1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1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1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1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1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1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1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1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1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1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1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1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1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1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1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1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1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1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1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1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1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1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1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1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1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1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1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1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1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1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1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1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1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1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1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1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1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1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1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1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1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1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1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1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1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1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1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1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1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1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1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1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1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1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1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1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1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1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1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1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1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1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1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1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1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1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1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1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1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1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1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1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1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1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1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1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1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1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1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1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1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1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1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1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1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1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1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1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1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1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1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1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1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1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1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1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1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1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1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1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1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1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1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1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1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1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1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1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1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1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1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1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1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1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1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1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1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1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1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1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1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1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1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1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1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1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1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1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1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1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1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1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1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1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1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1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1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1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1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1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1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1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1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1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1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1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1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1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1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1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1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1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1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1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1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1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1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1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1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1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1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1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1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1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1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1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1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1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1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1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1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1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1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1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1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1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1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1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1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1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1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1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1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1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1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1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1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1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1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1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1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1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1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1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1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1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1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1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1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1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1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1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1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1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1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1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1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1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1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1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1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1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1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1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1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1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1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1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1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1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1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1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1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1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1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1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1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1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1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1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1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1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1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1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1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1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1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1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1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1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1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1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1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1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1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1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1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1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1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1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1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1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1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1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1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1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1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1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1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1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1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1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1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1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1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1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1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1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1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1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1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1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1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1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1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1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1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1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1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1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1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1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1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1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1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1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1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1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1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1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1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1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1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1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1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1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1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1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1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1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1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1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1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1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1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1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1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1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1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1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1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1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1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1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1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1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1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1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1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1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1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1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1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1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1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1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1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1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1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1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1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1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1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1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1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1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1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1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1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1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1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1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1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1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1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1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1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1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1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1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1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1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1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1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1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1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1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1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11"/>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11"/>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11"/>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11"/>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11"/>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11"/>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11"/>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11"/>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11"/>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11"/>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11"/>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11"/>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11"/>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11"/>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11"/>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11"/>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95" t="s">
        <v>238</v>
      </c>
    </row>
    <row r="4">
      <c r="A4" s="30" t="s">
        <v>181</v>
      </c>
      <c r="C4" s="2"/>
      <c r="D4" s="2"/>
      <c r="E4" s="2"/>
      <c r="F4" s="2"/>
    </row>
    <row r="5">
      <c r="A5" s="107" t="s">
        <v>239</v>
      </c>
    </row>
    <row r="8">
      <c r="A8" s="118"/>
      <c r="B8" s="118"/>
      <c r="C8" s="118"/>
      <c r="D8" s="118"/>
      <c r="E8" s="118"/>
      <c r="F8" s="118"/>
    </row>
    <row r="9">
      <c r="A9" s="119" t="s">
        <v>240</v>
      </c>
      <c r="B9" s="119" t="s">
        <v>241</v>
      </c>
      <c r="C9" s="119" t="s">
        <v>242</v>
      </c>
      <c r="D9" s="119" t="s">
        <v>243</v>
      </c>
      <c r="E9" s="119" t="s">
        <v>244</v>
      </c>
      <c r="F9" s="119" t="s">
        <v>245</v>
      </c>
    </row>
    <row r="10">
      <c r="A10" s="108" t="s">
        <v>246</v>
      </c>
      <c r="B10" s="120"/>
      <c r="C10" s="121"/>
      <c r="D10" s="121"/>
      <c r="E10" s="121"/>
      <c r="F10" s="121"/>
    </row>
    <row r="11">
      <c r="A11" s="108" t="s">
        <v>247</v>
      </c>
      <c r="B11" s="49"/>
      <c r="C11" s="49"/>
      <c r="D11" s="49"/>
      <c r="E11" s="49"/>
      <c r="F11" s="49"/>
    </row>
    <row r="12">
      <c r="A12" s="108" t="s">
        <v>248</v>
      </c>
      <c r="B12" s="49"/>
      <c r="C12" s="49"/>
      <c r="D12" s="49"/>
      <c r="E12" s="49"/>
      <c r="F12" s="49"/>
    </row>
    <row r="13">
      <c r="A13" s="108" t="s">
        <v>249</v>
      </c>
      <c r="B13" s="49"/>
      <c r="C13" s="49"/>
      <c r="D13" s="49"/>
      <c r="E13" s="49"/>
      <c r="F13" s="49"/>
    </row>
    <row r="14">
      <c r="A14" s="108" t="s">
        <v>250</v>
      </c>
      <c r="B14" s="49"/>
      <c r="C14" s="49"/>
      <c r="D14" s="49"/>
      <c r="E14" s="49"/>
      <c r="F14" s="49"/>
    </row>
    <row r="15">
      <c r="A15" s="108" t="s">
        <v>251</v>
      </c>
      <c r="B15" s="49"/>
      <c r="C15" s="49"/>
      <c r="D15" s="49"/>
      <c r="E15" s="49"/>
      <c r="F15" s="49"/>
    </row>
    <row r="16">
      <c r="A16" s="49"/>
      <c r="B16" s="49"/>
      <c r="C16" s="49"/>
      <c r="D16" s="49"/>
      <c r="E16" s="49"/>
      <c r="F16" s="49"/>
    </row>
    <row r="17">
      <c r="A17" s="49"/>
      <c r="B17" s="49"/>
      <c r="C17" s="49"/>
      <c r="D17" s="49"/>
      <c r="E17" s="49"/>
      <c r="F17" s="49"/>
    </row>
    <row r="18">
      <c r="A18" s="49"/>
      <c r="B18" s="49"/>
      <c r="C18" s="49"/>
      <c r="D18" s="49"/>
      <c r="E18" s="49"/>
      <c r="F18" s="49"/>
    </row>
    <row r="19">
      <c r="A19" s="49"/>
      <c r="B19" s="49"/>
      <c r="C19" s="49"/>
      <c r="D19" s="49"/>
      <c r="E19" s="49"/>
      <c r="F19" s="49"/>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95" t="s">
        <v>252</v>
      </c>
    </row>
    <row r="3">
      <c r="A3" s="122" t="s">
        <v>253</v>
      </c>
    </row>
    <row r="6">
      <c r="A6" s="119" t="s">
        <v>254</v>
      </c>
      <c r="B6" s="119" t="s">
        <v>255</v>
      </c>
      <c r="C6" s="119" t="s">
        <v>256</v>
      </c>
      <c r="D6" s="119" t="s">
        <v>257</v>
      </c>
      <c r="E6" s="119" t="s">
        <v>258</v>
      </c>
      <c r="F6" s="123"/>
      <c r="G6" s="123"/>
      <c r="H6" s="123"/>
      <c r="I6" s="123"/>
      <c r="J6" s="123"/>
      <c r="K6" s="123"/>
      <c r="L6" s="123"/>
      <c r="M6" s="123"/>
      <c r="N6" s="123"/>
      <c r="O6" s="123"/>
      <c r="P6" s="123"/>
      <c r="Q6" s="123"/>
      <c r="R6" s="123"/>
      <c r="S6" s="123"/>
      <c r="T6" s="123"/>
      <c r="U6" s="123"/>
      <c r="V6" s="123"/>
      <c r="W6" s="123"/>
      <c r="X6" s="123"/>
      <c r="Y6" s="123"/>
      <c r="Z6" s="123"/>
    </row>
    <row r="7">
      <c r="A7" s="121" t="s">
        <v>259</v>
      </c>
      <c r="B7" s="49"/>
      <c r="C7" s="49"/>
      <c r="D7" s="49"/>
      <c r="E7" s="121"/>
    </row>
    <row r="8">
      <c r="A8" s="124" t="s">
        <v>260</v>
      </c>
      <c r="B8" s="92"/>
      <c r="C8" s="92"/>
      <c r="D8" s="92"/>
      <c r="E8" s="125"/>
      <c r="F8" s="93"/>
      <c r="G8" s="126" t="s">
        <v>261</v>
      </c>
      <c r="J8" s="93"/>
      <c r="K8" s="93"/>
      <c r="L8" s="93"/>
      <c r="M8" s="93"/>
      <c r="N8" s="93"/>
      <c r="O8" s="93"/>
      <c r="P8" s="93"/>
      <c r="Q8" s="93"/>
      <c r="R8" s="93"/>
      <c r="S8" s="93"/>
      <c r="T8" s="93"/>
      <c r="U8" s="93"/>
      <c r="V8" s="93"/>
      <c r="W8" s="93"/>
      <c r="X8" s="93"/>
      <c r="Y8" s="93"/>
      <c r="Z8" s="93"/>
    </row>
    <row r="9">
      <c r="A9" s="124" t="s">
        <v>262</v>
      </c>
      <c r="B9" s="92"/>
      <c r="C9" s="92"/>
      <c r="D9" s="92"/>
      <c r="E9" s="125" t="s">
        <v>263</v>
      </c>
      <c r="F9" s="93"/>
      <c r="G9" s="127" t="s">
        <v>264</v>
      </c>
      <c r="J9" s="93"/>
      <c r="K9" s="93"/>
      <c r="L9" s="93"/>
      <c r="M9" s="93"/>
      <c r="N9" s="93"/>
      <c r="O9" s="93"/>
      <c r="P9" s="93"/>
      <c r="Q9" s="93"/>
      <c r="R9" s="93"/>
      <c r="S9" s="93"/>
      <c r="T9" s="93"/>
      <c r="U9" s="93"/>
      <c r="V9" s="93"/>
      <c r="W9" s="93"/>
      <c r="X9" s="93"/>
      <c r="Y9" s="93"/>
      <c r="Z9" s="93"/>
    </row>
    <row r="10">
      <c r="A10" s="124" t="s">
        <v>265</v>
      </c>
      <c r="B10" s="92"/>
      <c r="C10" s="92"/>
      <c r="D10" s="92"/>
      <c r="E10" s="125" t="s">
        <v>266</v>
      </c>
      <c r="F10" s="93"/>
      <c r="G10" s="127"/>
      <c r="J10" s="93"/>
      <c r="K10" s="93"/>
      <c r="L10" s="93"/>
      <c r="M10" s="93"/>
      <c r="N10" s="93"/>
      <c r="O10" s="93"/>
      <c r="P10" s="93"/>
      <c r="Q10" s="93"/>
      <c r="R10" s="93"/>
      <c r="S10" s="93"/>
      <c r="T10" s="93"/>
      <c r="U10" s="93"/>
      <c r="V10" s="93"/>
      <c r="W10" s="93"/>
      <c r="X10" s="93"/>
      <c r="Y10" s="93"/>
      <c r="Z10" s="93"/>
    </row>
    <row r="11">
      <c r="A11" s="124" t="s">
        <v>267</v>
      </c>
      <c r="B11" s="92"/>
      <c r="C11" s="92"/>
      <c r="D11" s="92"/>
      <c r="E11" s="125" t="s">
        <v>268</v>
      </c>
      <c r="F11" s="93"/>
      <c r="G11" s="93"/>
      <c r="H11" s="93"/>
      <c r="I11" s="93"/>
      <c r="J11" s="93"/>
      <c r="K11" s="93"/>
      <c r="L11" s="93"/>
      <c r="M11" s="93"/>
      <c r="N11" s="93"/>
      <c r="O11" s="93"/>
      <c r="P11" s="93"/>
      <c r="Q11" s="93"/>
      <c r="R11" s="93"/>
      <c r="S11" s="93"/>
      <c r="T11" s="93"/>
      <c r="U11" s="93"/>
      <c r="V11" s="93"/>
      <c r="W11" s="93"/>
      <c r="X11" s="93"/>
      <c r="Y11" s="93"/>
      <c r="Z11" s="93"/>
    </row>
    <row r="12">
      <c r="A12" s="124" t="s">
        <v>269</v>
      </c>
      <c r="B12" s="92"/>
      <c r="C12" s="92"/>
      <c r="D12" s="92"/>
      <c r="E12" s="92"/>
      <c r="F12" s="93"/>
      <c r="G12" s="93"/>
      <c r="H12" s="93"/>
      <c r="I12" s="93"/>
      <c r="J12" s="93"/>
      <c r="K12" s="93"/>
      <c r="L12" s="93"/>
      <c r="M12" s="93"/>
      <c r="N12" s="93"/>
      <c r="O12" s="93"/>
      <c r="P12" s="93"/>
      <c r="Q12" s="93"/>
      <c r="R12" s="93"/>
      <c r="S12" s="93"/>
      <c r="T12" s="93"/>
      <c r="U12" s="93"/>
      <c r="V12" s="93"/>
      <c r="W12" s="93"/>
      <c r="X12" s="93"/>
      <c r="Y12" s="93"/>
      <c r="Z12" s="93"/>
    </row>
    <row r="13">
      <c r="A13" s="124" t="s">
        <v>270</v>
      </c>
      <c r="B13" s="92"/>
      <c r="C13" s="92"/>
      <c r="D13" s="92"/>
      <c r="E13" s="97" t="s">
        <v>271</v>
      </c>
      <c r="F13" s="93"/>
      <c r="G13" s="93"/>
      <c r="H13" s="93"/>
      <c r="I13" s="93"/>
      <c r="J13" s="93"/>
      <c r="K13" s="93"/>
      <c r="L13" s="93"/>
      <c r="M13" s="93"/>
      <c r="N13" s="93"/>
      <c r="O13" s="93"/>
      <c r="P13" s="93"/>
      <c r="Q13" s="93"/>
      <c r="R13" s="93"/>
      <c r="S13" s="93"/>
      <c r="T13" s="93"/>
      <c r="U13" s="93"/>
      <c r="V13" s="93"/>
      <c r="W13" s="93"/>
      <c r="X13" s="93"/>
      <c r="Y13" s="93"/>
      <c r="Z13" s="93"/>
    </row>
    <row r="14">
      <c r="A14" s="124" t="s">
        <v>272</v>
      </c>
      <c r="B14" s="92"/>
      <c r="C14" s="92"/>
      <c r="D14" s="92"/>
      <c r="E14" s="125" t="s">
        <v>273</v>
      </c>
      <c r="F14" s="93"/>
      <c r="G14" s="93"/>
      <c r="H14" s="93"/>
      <c r="I14" s="93"/>
      <c r="J14" s="93"/>
      <c r="K14" s="93"/>
      <c r="L14" s="93"/>
      <c r="M14" s="93"/>
      <c r="N14" s="93"/>
      <c r="O14" s="93"/>
      <c r="P14" s="93"/>
      <c r="Q14" s="93"/>
      <c r="R14" s="93"/>
      <c r="S14" s="93"/>
      <c r="T14" s="93"/>
      <c r="U14" s="93"/>
      <c r="V14" s="93"/>
      <c r="W14" s="93"/>
      <c r="X14" s="93"/>
      <c r="Y14" s="93"/>
      <c r="Z14" s="93"/>
    </row>
    <row r="15">
      <c r="A15" s="124" t="s">
        <v>274</v>
      </c>
      <c r="B15" s="92"/>
      <c r="C15" s="92"/>
      <c r="D15" s="92"/>
      <c r="E15" s="125" t="s">
        <v>273</v>
      </c>
      <c r="F15" s="93"/>
      <c r="G15" s="93"/>
      <c r="H15" s="93"/>
      <c r="I15" s="93"/>
      <c r="J15" s="93"/>
      <c r="K15" s="93"/>
      <c r="L15" s="93"/>
      <c r="M15" s="93"/>
      <c r="N15" s="93"/>
      <c r="O15" s="93"/>
      <c r="P15" s="93"/>
      <c r="Q15" s="93"/>
      <c r="R15" s="93"/>
      <c r="S15" s="93"/>
      <c r="T15" s="93"/>
      <c r="U15" s="93"/>
      <c r="V15" s="93"/>
      <c r="W15" s="93"/>
      <c r="X15" s="93"/>
      <c r="Y15" s="93"/>
      <c r="Z15" s="93"/>
    </row>
    <row r="16">
      <c r="A16" s="121" t="s">
        <v>275</v>
      </c>
      <c r="B16" s="49"/>
      <c r="C16" s="49"/>
      <c r="D16" s="49"/>
      <c r="E16" s="108" t="s">
        <v>276</v>
      </c>
    </row>
    <row r="17">
      <c r="A17" s="124" t="s">
        <v>277</v>
      </c>
      <c r="B17" s="49"/>
      <c r="C17" s="49"/>
      <c r="D17" s="49"/>
      <c r="E17" s="108" t="s">
        <v>278</v>
      </c>
    </row>
    <row r="18">
      <c r="A18" s="121" t="s">
        <v>279</v>
      </c>
      <c r="B18" s="49"/>
      <c r="C18" s="49"/>
      <c r="D18" s="49"/>
      <c r="E18" s="108" t="s">
        <v>280</v>
      </c>
    </row>
    <row r="19">
      <c r="A19" s="121" t="s">
        <v>281</v>
      </c>
      <c r="B19" s="49"/>
      <c r="C19" s="49"/>
      <c r="D19" s="49"/>
      <c r="E19" s="49"/>
    </row>
    <row r="20">
      <c r="A20" s="121" t="s">
        <v>282</v>
      </c>
      <c r="B20" s="49"/>
      <c r="C20" s="49"/>
      <c r="D20" s="49"/>
      <c r="E20" s="49"/>
    </row>
    <row r="21">
      <c r="A21" s="121" t="s">
        <v>283</v>
      </c>
      <c r="B21" s="49"/>
      <c r="C21" s="49"/>
      <c r="D21" s="49"/>
      <c r="E21" s="108" t="s">
        <v>284</v>
      </c>
    </row>
    <row r="22">
      <c r="A22" s="121" t="s">
        <v>285</v>
      </c>
      <c r="B22" s="49"/>
      <c r="C22" s="49"/>
      <c r="D22" s="49"/>
      <c r="E22" s="49"/>
    </row>
    <row r="23">
      <c r="A23" s="121" t="s">
        <v>286</v>
      </c>
      <c r="B23" s="49"/>
      <c r="C23" s="49"/>
      <c r="D23" s="49"/>
      <c r="E23" s="49"/>
    </row>
    <row r="24">
      <c r="A24" s="121" t="s">
        <v>287</v>
      </c>
      <c r="B24" s="49"/>
      <c r="C24" s="49"/>
      <c r="D24" s="49"/>
      <c r="E24" s="49"/>
    </row>
    <row r="25">
      <c r="A25" s="121" t="s">
        <v>288</v>
      </c>
      <c r="B25" s="49"/>
      <c r="C25" s="49"/>
      <c r="D25" s="49"/>
      <c r="E25" s="49"/>
    </row>
    <row r="26">
      <c r="A26" s="124" t="s">
        <v>289</v>
      </c>
      <c r="B26" s="128" t="str">
        <f>'Required Info'!C11</f>
        <v/>
      </c>
      <c r="C26" s="49"/>
      <c r="D26" s="49"/>
      <c r="E26" s="49"/>
    </row>
    <row r="27">
      <c r="A27" s="121" t="s">
        <v>290</v>
      </c>
      <c r="B27" s="49"/>
      <c r="C27" s="49"/>
      <c r="D27" s="49"/>
      <c r="E27" s="49"/>
    </row>
    <row r="28">
      <c r="A28" s="121" t="s">
        <v>291</v>
      </c>
      <c r="B28" s="49"/>
      <c r="C28" s="49"/>
      <c r="D28" s="49"/>
      <c r="E28" s="49"/>
    </row>
    <row r="29">
      <c r="A29" s="121" t="s">
        <v>292</v>
      </c>
      <c r="B29" s="49"/>
      <c r="C29" s="49"/>
      <c r="D29" s="49"/>
      <c r="E29" s="49"/>
    </row>
    <row r="30">
      <c r="A30" s="121" t="s">
        <v>293</v>
      </c>
      <c r="B30" s="49"/>
      <c r="C30" s="49"/>
      <c r="D30" s="49"/>
      <c r="E30" s="49"/>
    </row>
    <row r="31">
      <c r="A31" s="49"/>
      <c r="B31" s="49"/>
      <c r="C31" s="49"/>
      <c r="D31" s="49"/>
      <c r="E31" s="49"/>
    </row>
    <row r="32">
      <c r="A32" s="49"/>
      <c r="B32" s="49"/>
      <c r="C32" s="49"/>
      <c r="D32" s="49"/>
      <c r="E32" s="49"/>
    </row>
    <row r="33">
      <c r="A33" s="49"/>
      <c r="B33" s="49"/>
      <c r="C33" s="49"/>
      <c r="D33" s="49"/>
      <c r="E33" s="49"/>
    </row>
    <row r="34">
      <c r="A34" s="49"/>
      <c r="B34" s="49"/>
      <c r="C34" s="49"/>
      <c r="D34" s="49"/>
      <c r="E34" s="49"/>
    </row>
    <row r="35">
      <c r="A35" s="49"/>
      <c r="B35" s="49"/>
      <c r="C35" s="49"/>
      <c r="D35" s="49"/>
      <c r="E35" s="49"/>
    </row>
    <row r="36">
      <c r="A36" s="49"/>
      <c r="B36" s="49"/>
      <c r="C36" s="49"/>
      <c r="D36" s="49"/>
      <c r="E36" s="49"/>
    </row>
    <row r="37">
      <c r="A37" s="49"/>
      <c r="B37" s="49"/>
      <c r="C37" s="49"/>
      <c r="D37" s="49"/>
      <c r="E37" s="49"/>
    </row>
    <row r="38">
      <c r="A38" s="49"/>
      <c r="B38" s="49"/>
      <c r="C38" s="49"/>
      <c r="D38" s="49"/>
      <c r="E38" s="49"/>
    </row>
    <row r="39">
      <c r="A39" s="49"/>
      <c r="B39" s="49"/>
      <c r="C39" s="49"/>
      <c r="D39" s="49"/>
      <c r="E39" s="49"/>
    </row>
    <row r="40">
      <c r="A40" s="49"/>
      <c r="B40" s="49"/>
      <c r="C40" s="49"/>
      <c r="D40" s="49"/>
      <c r="E40" s="49"/>
    </row>
    <row r="41">
      <c r="A41" s="49"/>
      <c r="B41" s="49"/>
      <c r="C41" s="49"/>
      <c r="D41" s="49"/>
      <c r="E41" s="49"/>
    </row>
    <row r="42">
      <c r="A42" s="49"/>
      <c r="B42" s="49"/>
      <c r="C42" s="49"/>
      <c r="D42" s="49"/>
      <c r="E42" s="49"/>
    </row>
    <row r="43">
      <c r="A43" s="49"/>
      <c r="B43" s="49"/>
      <c r="C43" s="49"/>
      <c r="D43" s="49"/>
      <c r="E43" s="49"/>
    </row>
    <row r="44">
      <c r="A44" s="49"/>
      <c r="B44" s="49"/>
      <c r="C44" s="49"/>
      <c r="D44" s="49"/>
      <c r="E44" s="49"/>
    </row>
    <row r="45">
      <c r="A45" s="49"/>
      <c r="B45" s="49"/>
      <c r="C45" s="49"/>
      <c r="D45" s="49"/>
      <c r="E45" s="49"/>
    </row>
    <row r="46">
      <c r="A46" s="49"/>
      <c r="B46" s="49"/>
      <c r="C46" s="49"/>
      <c r="D46" s="49"/>
      <c r="E46" s="49"/>
    </row>
    <row r="47">
      <c r="A47" s="49"/>
      <c r="B47" s="49"/>
      <c r="C47" s="49"/>
      <c r="D47" s="49"/>
      <c r="E47" s="49"/>
    </row>
    <row r="48">
      <c r="A48" s="49"/>
      <c r="B48" s="49"/>
      <c r="C48" s="49"/>
      <c r="D48" s="49"/>
      <c r="E48" s="49"/>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8" t="s">
        <v>294</v>
      </c>
      <c r="F2" s="18"/>
    </row>
    <row r="3">
      <c r="A3" s="122" t="s">
        <v>295</v>
      </c>
    </row>
    <row r="5">
      <c r="A5" s="129" t="s">
        <v>296</v>
      </c>
      <c r="B5" s="130" t="s">
        <v>297</v>
      </c>
      <c r="C5" s="130" t="s">
        <v>298</v>
      </c>
      <c r="D5" s="130" t="s">
        <v>299</v>
      </c>
      <c r="E5" s="130" t="s">
        <v>300</v>
      </c>
      <c r="F5" s="130" t="s">
        <v>301</v>
      </c>
      <c r="G5" s="130" t="s">
        <v>302</v>
      </c>
      <c r="H5" s="130" t="s">
        <v>303</v>
      </c>
      <c r="I5" s="130" t="s">
        <v>304</v>
      </c>
      <c r="J5" s="130" t="s">
        <v>305</v>
      </c>
      <c r="K5" s="130" t="s">
        <v>306</v>
      </c>
      <c r="L5" s="130" t="s">
        <v>35</v>
      </c>
      <c r="M5" s="130" t="s">
        <v>307</v>
      </c>
      <c r="N5" s="130" t="s">
        <v>308</v>
      </c>
      <c r="O5" s="129" t="s">
        <v>309</v>
      </c>
      <c r="P5" s="130" t="s">
        <v>310</v>
      </c>
      <c r="Q5" s="130" t="s">
        <v>311</v>
      </c>
      <c r="R5" s="131"/>
      <c r="S5" s="131"/>
      <c r="T5" s="131"/>
      <c r="U5" s="131"/>
      <c r="V5" s="131"/>
      <c r="W5" s="131"/>
      <c r="X5" s="131"/>
      <c r="Y5" s="131"/>
      <c r="Z5" s="131"/>
      <c r="AA5" s="131"/>
    </row>
    <row r="6">
      <c r="A6" s="132">
        <v>1.0</v>
      </c>
      <c r="B6" s="132" t="s">
        <v>312</v>
      </c>
      <c r="C6" s="132">
        <v>4.0</v>
      </c>
      <c r="D6" s="132" t="s">
        <v>313</v>
      </c>
      <c r="E6" s="132" t="s">
        <v>314</v>
      </c>
      <c r="F6" s="132">
        <v>3.0</v>
      </c>
      <c r="G6" s="132" t="s">
        <v>315</v>
      </c>
      <c r="H6" s="132" t="s">
        <v>316</v>
      </c>
      <c r="I6" s="132" t="s">
        <v>317</v>
      </c>
      <c r="J6" s="132" t="s">
        <v>318</v>
      </c>
      <c r="K6" s="132">
        <v>77508.0</v>
      </c>
      <c r="L6" s="132" t="s">
        <v>319</v>
      </c>
      <c r="M6" s="132" t="s">
        <v>320</v>
      </c>
      <c r="N6" s="132" t="s">
        <v>313</v>
      </c>
      <c r="O6" s="132">
        <v>0.0</v>
      </c>
      <c r="P6" s="133" t="s">
        <v>313</v>
      </c>
      <c r="Q6" s="134" t="s">
        <v>313</v>
      </c>
      <c r="R6" s="135"/>
      <c r="S6" s="135"/>
      <c r="T6" s="135"/>
      <c r="U6" s="135"/>
      <c r="V6" s="135"/>
      <c r="W6" s="135"/>
      <c r="X6" s="135"/>
      <c r="Y6" s="135"/>
      <c r="Z6" s="135"/>
      <c r="AA6" s="135"/>
    </row>
    <row r="21">
      <c r="A21" s="136"/>
      <c r="B21" s="136" t="s">
        <v>321</v>
      </c>
      <c r="C21" s="137">
        <f>sum(C6:C20)</f>
        <v>4</v>
      </c>
      <c r="D21" s="93"/>
      <c r="E21" s="93"/>
      <c r="F21" s="137">
        <f>sum(F6:F20)</f>
        <v>3</v>
      </c>
      <c r="G21" s="93"/>
      <c r="H21" s="93"/>
      <c r="I21" s="93"/>
      <c r="J21" s="93"/>
      <c r="K21" s="93"/>
      <c r="L21" s="93"/>
      <c r="M21" s="93"/>
      <c r="N21" s="93"/>
      <c r="O21" s="137">
        <f>sum(O6:O20)</f>
        <v>0</v>
      </c>
      <c r="P21" s="93"/>
      <c r="Q21" s="93"/>
      <c r="R21" s="93"/>
      <c r="S21" s="93"/>
      <c r="T21" s="93"/>
      <c r="U21" s="93"/>
      <c r="V21" s="93"/>
      <c r="W21" s="93"/>
      <c r="X21" s="93"/>
      <c r="Y21" s="93"/>
      <c r="Z21" s="93"/>
      <c r="AA21" s="93"/>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8" t="s">
        <v>322</v>
      </c>
    </row>
    <row r="3" ht="18.75" customHeight="1">
      <c r="A3" s="138" t="s">
        <v>323</v>
      </c>
    </row>
    <row r="7">
      <c r="A7" s="139" t="s">
        <v>324</v>
      </c>
      <c r="B7" s="140">
        <f>COUNTA(A10:A30)</f>
        <v>4</v>
      </c>
      <c r="C7" s="139" t="s">
        <v>325</v>
      </c>
      <c r="D7" s="141"/>
      <c r="E7" s="142">
        <f>sum(B26:Z26)</f>
        <v>3</v>
      </c>
    </row>
    <row r="9">
      <c r="A9" s="143" t="s">
        <v>326</v>
      </c>
      <c r="B9" s="144" t="s">
        <v>327</v>
      </c>
      <c r="C9" s="143" t="s">
        <v>328</v>
      </c>
      <c r="D9" s="144" t="s">
        <v>329</v>
      </c>
      <c r="E9" s="143" t="s">
        <v>330</v>
      </c>
      <c r="F9" s="144" t="s">
        <v>331</v>
      </c>
      <c r="G9" s="143" t="s">
        <v>332</v>
      </c>
      <c r="H9" s="144" t="s">
        <v>333</v>
      </c>
      <c r="I9" s="143" t="s">
        <v>334</v>
      </c>
      <c r="J9" s="144" t="s">
        <v>335</v>
      </c>
      <c r="K9" s="143" t="s">
        <v>336</v>
      </c>
      <c r="L9" s="144" t="s">
        <v>337</v>
      </c>
      <c r="M9" s="143" t="s">
        <v>338</v>
      </c>
      <c r="N9" s="144" t="s">
        <v>339</v>
      </c>
      <c r="O9" s="143" t="s">
        <v>340</v>
      </c>
      <c r="P9" s="144" t="s">
        <v>341</v>
      </c>
      <c r="Q9" s="143" t="s">
        <v>342</v>
      </c>
      <c r="R9" s="144" t="s">
        <v>343</v>
      </c>
      <c r="S9" s="143" t="s">
        <v>344</v>
      </c>
      <c r="T9" s="144" t="s">
        <v>345</v>
      </c>
      <c r="U9" s="143" t="s">
        <v>346</v>
      </c>
      <c r="V9" s="144" t="s">
        <v>347</v>
      </c>
      <c r="W9" s="143" t="s">
        <v>348</v>
      </c>
      <c r="X9" s="144" t="s">
        <v>349</v>
      </c>
      <c r="Y9" s="143" t="s">
        <v>350</v>
      </c>
      <c r="Z9" s="144" t="s">
        <v>351</v>
      </c>
    </row>
    <row r="10">
      <c r="A10" s="145" t="s">
        <v>352</v>
      </c>
      <c r="B10" s="146" t="s">
        <v>353</v>
      </c>
      <c r="C10" s="145"/>
      <c r="D10" s="146"/>
      <c r="E10" s="145"/>
      <c r="F10" s="146"/>
      <c r="G10" s="145"/>
      <c r="H10" s="146"/>
      <c r="I10" s="145"/>
      <c r="J10" s="146"/>
      <c r="K10" s="145"/>
      <c r="L10" s="146"/>
      <c r="M10" s="145"/>
      <c r="N10" s="146"/>
      <c r="O10" s="145"/>
      <c r="P10" s="146"/>
      <c r="Q10" s="145"/>
      <c r="R10" s="146"/>
      <c r="S10" s="145"/>
      <c r="T10" s="146"/>
      <c r="U10" s="145"/>
      <c r="V10" s="146"/>
      <c r="W10" s="145"/>
      <c r="X10" s="146"/>
      <c r="Y10" s="145"/>
      <c r="Z10" s="146"/>
    </row>
    <row r="11">
      <c r="A11" s="145" t="s">
        <v>354</v>
      </c>
      <c r="B11" s="146" t="s">
        <v>355</v>
      </c>
      <c r="C11" s="145"/>
      <c r="D11" s="146"/>
      <c r="E11" s="145"/>
      <c r="F11" s="146"/>
      <c r="G11" s="145"/>
      <c r="H11" s="146"/>
      <c r="I11" s="145"/>
      <c r="J11" s="146"/>
      <c r="K11" s="145"/>
      <c r="L11" s="146"/>
      <c r="M11" s="145"/>
      <c r="N11" s="146"/>
      <c r="O11" s="145"/>
      <c r="P11" s="146"/>
      <c r="Q11" s="145"/>
      <c r="R11" s="146"/>
      <c r="S11" s="145"/>
      <c r="T11" s="146"/>
      <c r="U11" s="145"/>
      <c r="V11" s="146"/>
      <c r="W11" s="145"/>
      <c r="X11" s="146"/>
      <c r="Y11" s="145"/>
      <c r="Z11" s="146"/>
    </row>
    <row r="12">
      <c r="A12" s="145" t="s">
        <v>356</v>
      </c>
      <c r="B12" s="146" t="s">
        <v>357</v>
      </c>
      <c r="C12" s="145"/>
      <c r="D12" s="146"/>
      <c r="E12" s="145"/>
      <c r="F12" s="146"/>
      <c r="G12" s="145"/>
      <c r="H12" s="146"/>
      <c r="I12" s="145"/>
      <c r="J12" s="146"/>
      <c r="K12" s="145"/>
      <c r="L12" s="146"/>
      <c r="M12" s="145"/>
      <c r="N12" s="146"/>
      <c r="O12" s="145"/>
      <c r="P12" s="146"/>
      <c r="Q12" s="145"/>
      <c r="R12" s="146"/>
      <c r="S12" s="145"/>
      <c r="T12" s="146"/>
      <c r="U12" s="145"/>
      <c r="V12" s="146"/>
      <c r="W12" s="145"/>
      <c r="X12" s="146"/>
      <c r="Y12" s="145"/>
      <c r="Z12" s="146"/>
    </row>
    <row r="13">
      <c r="A13" s="145" t="s">
        <v>358</v>
      </c>
      <c r="B13" s="146"/>
      <c r="C13" s="145"/>
      <c r="D13" s="146"/>
      <c r="E13" s="145"/>
      <c r="F13" s="146"/>
      <c r="G13" s="145"/>
      <c r="H13" s="146"/>
      <c r="I13" s="145"/>
      <c r="J13" s="146"/>
      <c r="K13" s="145"/>
      <c r="L13" s="146"/>
      <c r="M13" s="145"/>
      <c r="N13" s="146"/>
      <c r="O13" s="145"/>
      <c r="P13" s="146"/>
      <c r="Q13" s="145"/>
      <c r="R13" s="146"/>
      <c r="S13" s="145"/>
      <c r="T13" s="146"/>
      <c r="U13" s="145"/>
      <c r="V13" s="146"/>
      <c r="W13" s="145"/>
      <c r="X13" s="146"/>
      <c r="Y13" s="145"/>
      <c r="Z13" s="146"/>
    </row>
    <row r="14">
      <c r="A14" s="145"/>
      <c r="B14" s="146"/>
      <c r="C14" s="145"/>
      <c r="D14" s="146"/>
      <c r="E14" s="145"/>
      <c r="F14" s="146"/>
      <c r="G14" s="145"/>
      <c r="H14" s="146"/>
      <c r="I14" s="145"/>
      <c r="J14" s="146"/>
      <c r="K14" s="145"/>
      <c r="L14" s="146"/>
      <c r="M14" s="145"/>
      <c r="N14" s="146"/>
      <c r="O14" s="145"/>
      <c r="P14" s="146"/>
      <c r="Q14" s="145"/>
      <c r="R14" s="146"/>
      <c r="S14" s="145"/>
      <c r="T14" s="146"/>
      <c r="U14" s="145"/>
      <c r="V14" s="146"/>
      <c r="W14" s="145"/>
      <c r="X14" s="146"/>
      <c r="Y14" s="145"/>
      <c r="Z14" s="146"/>
    </row>
    <row r="15">
      <c r="A15" s="145"/>
      <c r="B15" s="146"/>
      <c r="C15" s="145"/>
      <c r="D15" s="146"/>
      <c r="E15" s="145"/>
      <c r="F15" s="146"/>
      <c r="G15" s="145"/>
      <c r="H15" s="146"/>
      <c r="I15" s="145"/>
      <c r="J15" s="146"/>
      <c r="K15" s="145"/>
      <c r="L15" s="146"/>
      <c r="M15" s="145"/>
      <c r="N15" s="146"/>
      <c r="O15" s="145"/>
      <c r="P15" s="146"/>
      <c r="Q15" s="145"/>
      <c r="R15" s="146"/>
      <c r="S15" s="145"/>
      <c r="T15" s="146"/>
      <c r="U15" s="145"/>
      <c r="V15" s="146"/>
      <c r="W15" s="145"/>
      <c r="X15" s="146"/>
      <c r="Y15" s="145"/>
      <c r="Z15" s="146"/>
    </row>
    <row r="16">
      <c r="A16" s="145"/>
      <c r="B16" s="146"/>
      <c r="C16" s="145"/>
      <c r="D16" s="146"/>
      <c r="E16" s="145"/>
      <c r="F16" s="146"/>
      <c r="G16" s="145"/>
      <c r="H16" s="146"/>
      <c r="I16" s="145"/>
      <c r="J16" s="146"/>
      <c r="K16" s="145"/>
      <c r="L16" s="146"/>
      <c r="M16" s="145"/>
      <c r="N16" s="146"/>
      <c r="O16" s="145"/>
      <c r="P16" s="146"/>
      <c r="Q16" s="145"/>
      <c r="R16" s="146"/>
      <c r="S16" s="145"/>
      <c r="T16" s="146"/>
      <c r="U16" s="145"/>
      <c r="V16" s="146"/>
      <c r="W16" s="145"/>
      <c r="X16" s="146"/>
      <c r="Y16" s="145"/>
      <c r="Z16" s="146"/>
    </row>
    <row r="17">
      <c r="A17" s="145"/>
      <c r="B17" s="146"/>
      <c r="C17" s="145"/>
      <c r="D17" s="146"/>
      <c r="E17" s="145"/>
      <c r="F17" s="146"/>
      <c r="G17" s="145"/>
      <c r="H17" s="146"/>
      <c r="I17" s="145"/>
      <c r="J17" s="146"/>
      <c r="K17" s="145"/>
      <c r="L17" s="146"/>
      <c r="M17" s="145"/>
      <c r="N17" s="146"/>
      <c r="O17" s="145"/>
      <c r="P17" s="146"/>
      <c r="Q17" s="145"/>
      <c r="R17" s="146"/>
      <c r="S17" s="145"/>
      <c r="T17" s="146"/>
      <c r="U17" s="145"/>
      <c r="V17" s="146"/>
      <c r="W17" s="145"/>
      <c r="X17" s="146"/>
      <c r="Y17" s="145"/>
      <c r="Z17" s="146"/>
    </row>
    <row r="18">
      <c r="A18" s="145"/>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row>
    <row r="19">
      <c r="A19" s="145"/>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row>
    <row r="20">
      <c r="A20" s="145"/>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row>
    <row r="21">
      <c r="A21" s="145"/>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row>
    <row r="22">
      <c r="A22" s="145"/>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row>
    <row r="23">
      <c r="A23" s="145"/>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row>
    <row r="24">
      <c r="A24" s="145"/>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row>
    <row r="25">
      <c r="A25" s="145"/>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row>
    <row r="26">
      <c r="A26" s="132"/>
      <c r="B26" s="148">
        <f t="shared" ref="B26:Z26" si="1">8-Countblank(B10:B17)</f>
        <v>3</v>
      </c>
      <c r="C26" s="148">
        <f t="shared" si="1"/>
        <v>0</v>
      </c>
      <c r="D26" s="148">
        <f t="shared" si="1"/>
        <v>0</v>
      </c>
      <c r="E26" s="148">
        <f t="shared" si="1"/>
        <v>0</v>
      </c>
      <c r="F26" s="148">
        <f t="shared" si="1"/>
        <v>0</v>
      </c>
      <c r="G26" s="148">
        <f t="shared" si="1"/>
        <v>0</v>
      </c>
      <c r="H26" s="148">
        <f t="shared" si="1"/>
        <v>0</v>
      </c>
      <c r="I26" s="148">
        <f t="shared" si="1"/>
        <v>0</v>
      </c>
      <c r="J26" s="148">
        <f t="shared" si="1"/>
        <v>0</v>
      </c>
      <c r="K26" s="148">
        <f t="shared" si="1"/>
        <v>0</v>
      </c>
      <c r="L26" s="148">
        <f t="shared" si="1"/>
        <v>0</v>
      </c>
      <c r="M26" s="148">
        <f t="shared" si="1"/>
        <v>0</v>
      </c>
      <c r="N26" s="148">
        <f t="shared" si="1"/>
        <v>0</v>
      </c>
      <c r="O26" s="148">
        <f t="shared" si="1"/>
        <v>0</v>
      </c>
      <c r="P26" s="148">
        <f t="shared" si="1"/>
        <v>0</v>
      </c>
      <c r="Q26" s="148">
        <f t="shared" si="1"/>
        <v>0</v>
      </c>
      <c r="R26" s="148">
        <f t="shared" si="1"/>
        <v>0</v>
      </c>
      <c r="S26" s="148">
        <f t="shared" si="1"/>
        <v>0</v>
      </c>
      <c r="T26" s="148">
        <f t="shared" si="1"/>
        <v>0</v>
      </c>
      <c r="U26" s="148">
        <f t="shared" si="1"/>
        <v>0</v>
      </c>
      <c r="V26" s="148">
        <f t="shared" si="1"/>
        <v>0</v>
      </c>
      <c r="W26" s="148">
        <f t="shared" si="1"/>
        <v>0</v>
      </c>
      <c r="X26" s="148">
        <f t="shared" si="1"/>
        <v>0</v>
      </c>
      <c r="Y26" s="148">
        <f t="shared" si="1"/>
        <v>0</v>
      </c>
      <c r="Z26" s="148">
        <f t="shared" si="1"/>
        <v>0</v>
      </c>
    </row>
    <row r="27">
      <c r="A27" s="132"/>
    </row>
    <row r="28">
      <c r="A28" s="132"/>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
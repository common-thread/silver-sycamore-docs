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d Info" sheetId="1" r:id="rId3"/>
    <sheet state="visible" name="Printable" sheetId="2" r:id="rId4"/>
    <sheet state="visible" name="Street of Town Layout" sheetId="3" r:id="rId5"/>
    <sheet state="visible" name="Reception Hall Layout" sheetId="4" r:id="rId6"/>
    <sheet state="hidden" name="Questions Post Them Here" sheetId="5" r:id="rId7"/>
    <sheet state="visible" name="Blog Feature Information" sheetId="6" r:id="rId8"/>
    <sheet state="visible" name="Wedding Day Schedule" sheetId="7" r:id="rId9"/>
    <sheet state="visible" name="Packing List" sheetId="8" r:id="rId10"/>
    <sheet state="visible" name="To Do List" sheetId="9" r:id="rId11"/>
    <sheet state="visible" name="Guest List" sheetId="10" r:id="rId12"/>
    <sheet state="visible" name="Table Assigments" sheetId="11" r:id="rId13"/>
    <sheet state="hidden" name="Song Idea List" sheetId="12" r:id="rId14"/>
  </sheets>
  <definedNames/>
  <calcPr/>
</workbook>
</file>

<file path=xl/sharedStrings.xml><?xml version="1.0" encoding="utf-8"?>
<sst xmlns="http://schemas.openxmlformats.org/spreadsheetml/2006/main" count="454" uniqueCount="379">
  <si>
    <t>Silver Sycamore  - Wedding Details Planner</t>
  </si>
  <si>
    <t>Date(s) Booked:</t>
  </si>
  <si>
    <t>Bride:</t>
  </si>
  <si>
    <t>Groom:</t>
  </si>
  <si>
    <t>Person Completing Form:</t>
  </si>
  <si>
    <t>(List your name here please)</t>
  </si>
  <si>
    <t>Your Role in Big Day:</t>
  </si>
  <si>
    <t>(Bride? Groom? MOH? MOB?)</t>
  </si>
  <si>
    <t>Main Contact Name/Number:</t>
  </si>
  <si>
    <t>How To Use This Document:</t>
  </si>
  <si>
    <t>We're so excited to host your big day at Silver Sycamore! This document has been put together to help you in the planning process and is designed for use on a desktop computer. You can add/edit/change up until the deadline stated below. If you know at any time everything on the first tab in PINK is FINAL, mark an X in the GREEN box below. The cells in PINK below are REQUIRED for us to prepare for your big day. The Cells in PURPLE AND PINK are for those who are Renting Venue only and must complete .The cells in blue are helpful to us, but optional. The tabs following the "REQUIRED INFORMATION" tab are not necessary to be completed, but we believe may be helpful to you in the planning process. The cells in yellow are set by the venue and MAY NOT be edited. If you see an error in a yellow cell please contact us ASAP. Please note we will have shared access to this document with you.  We can "see" the updates you make without you having to submit the document to us. Also, please note, to change the content in a cell you have already written in, double click the cell before you start editing. (If you don't you'll delete the contents of the cell and start over.) Also, please note that this is a FREE tool provided by Silver Sycamore. We have done our best to ensure that there are no mistakes or errors in formulas, calculations, etc. Please do your own due diligence to ensure accuracy and let us know if you see any errors. We hope you find this document helpful in the planning process!</t>
  </si>
  <si>
    <t>Please Complete the Following by ------------&gt;</t>
  </si>
  <si>
    <t>Mark an "X" here when final ---&gt;</t>
  </si>
  <si>
    <t>Timing of Events:</t>
  </si>
  <si>
    <t>(Time Below for Coordinated All Inclusive Event</t>
  </si>
  <si>
    <t>(List Time Below For Venue Rental only)</t>
  </si>
  <si>
    <t>Silver Sycamore Opens</t>
  </si>
  <si>
    <t>Arrival at Bridal Cottage</t>
  </si>
  <si>
    <t>Arrival at Jail</t>
  </si>
  <si>
    <t>Decorating Begins</t>
  </si>
  <si>
    <t>First Look Photos of Couple</t>
  </si>
  <si>
    <t>Ceremony Begins</t>
  </si>
  <si>
    <t>Bar Opens</t>
  </si>
  <si>
    <t>Grand Entrance</t>
  </si>
  <si>
    <t xml:space="preserve">Buffet Opens </t>
  </si>
  <si>
    <t>Cake Cutting</t>
  </si>
  <si>
    <t>Toasts</t>
  </si>
  <si>
    <t>First Dance/Special Dances</t>
  </si>
  <si>
    <t>Bouquet and Garter Toss</t>
  </si>
  <si>
    <t>Exit Announced</t>
  </si>
  <si>
    <t>Bar Closes</t>
  </si>
  <si>
    <t>Music Concludes</t>
  </si>
  <si>
    <t>Silver Sycamore Gates Close</t>
  </si>
  <si>
    <t>Contact Information</t>
  </si>
  <si>
    <t>Name</t>
  </si>
  <si>
    <t>Phone</t>
  </si>
  <si>
    <t>Is Text Okay? Yes/No</t>
  </si>
  <si>
    <t>Decision Maker for Day</t>
  </si>
  <si>
    <t>(Should NOT be bride/groom/members of bridal party)</t>
  </si>
  <si>
    <t>Business Name</t>
  </si>
  <si>
    <t>Email Address</t>
  </si>
  <si>
    <t>Arrival Time at Venue</t>
  </si>
  <si>
    <t xml:space="preserve">Cell Phone in Case of Emergency </t>
  </si>
  <si>
    <t>(Website)</t>
  </si>
  <si>
    <t>Professional Vendor/Friend/Family?</t>
  </si>
  <si>
    <t>Officiant</t>
  </si>
  <si>
    <t>Photographer</t>
  </si>
  <si>
    <t>DJ / Band</t>
  </si>
  <si>
    <t>Linens</t>
  </si>
  <si>
    <t>Videographer</t>
  </si>
  <si>
    <t>Bar Service</t>
  </si>
  <si>
    <t>SILVER SYCAMORE</t>
  </si>
  <si>
    <t>Wedding Day Caterer if not SS</t>
  </si>
  <si>
    <t>Rehearsal Dinner location (if rented Silver Sycamore for Rehearsal Dinner)</t>
  </si>
  <si>
    <t>Florist</t>
  </si>
  <si>
    <t>Photo Booth</t>
  </si>
  <si>
    <t>Cake/Sweets</t>
  </si>
  <si>
    <t>Dress Shop</t>
  </si>
  <si>
    <t>Suit Shop</t>
  </si>
  <si>
    <t>Stationery/Paper Goods</t>
  </si>
  <si>
    <t>Other Vendor</t>
  </si>
  <si>
    <t>Hair/Makeup</t>
  </si>
  <si>
    <t>Coordinator -if not Silver Sycamore provided in package</t>
  </si>
  <si>
    <t>Ceremony Questions</t>
  </si>
  <si>
    <r>
      <rPr>
        <rFont val="Calibri"/>
        <b/>
        <sz val="14.0"/>
        <u/>
      </rPr>
      <t xml:space="preserve">VERY HELPFUL NOTES FROM SILVER SYCAMORE MAY BE FOUND IN THIS COLUMN BELOW. </t>
    </r>
    <r>
      <rPr>
        <rFont val="Calibri"/>
        <b/>
        <color rgb="FFFF0000"/>
        <sz val="14.0"/>
        <u/>
      </rPr>
      <t>DO NOT WRITE IN THIS COLUMN.</t>
    </r>
  </si>
  <si>
    <t>Preferred ceremony location</t>
  </si>
  <si>
    <t>Have you set time for Rehearsal at Silver Sycamore ?</t>
  </si>
  <si>
    <t xml:space="preserve">Silver Sycamore cannot guarantee a Rehearsal the night before the event unless you 
have booked the Rehearsal Dinner with us  
Rehearsals are set upon availability and no later than 4pm of the Date </t>
  </si>
  <si>
    <t>Will you see each other prior to the ceremony?</t>
  </si>
  <si>
    <t xml:space="preserve">If your ceremony is outside, please choose a backup location in case of rain, extreme cold, or extreme heat. </t>
  </si>
  <si>
    <r>
      <rPr>
        <rFont val="Calibri,Arial"/>
      </rPr>
      <t xml:space="preserve">You </t>
    </r>
    <r>
      <rPr>
        <rFont val="Calibri,Arial"/>
        <b/>
      </rPr>
      <t xml:space="preserve">must choose </t>
    </r>
    <r>
      <rPr>
        <rFont val="Calibri,Arial"/>
      </rPr>
      <t xml:space="preserve">an option in case of rain. </t>
    </r>
  </si>
  <si>
    <t xml:space="preserve">If ceremony is outside, how many chairs do you need? </t>
  </si>
  <si>
    <t>Maximum White Garden Chairs available for outside is 100</t>
  </si>
  <si>
    <t>Will you have a Unity during your ceremony?</t>
  </si>
  <si>
    <t>Let us know if you have any type of special ceremony that requires a table. No Candles or open flames allowed in the Chapel.</t>
  </si>
  <si>
    <t>When the Ceremony Starts would you like doors locked or allow latecomers to enter?</t>
  </si>
  <si>
    <t>Will you be having Musicians play at Ceremony?</t>
  </si>
  <si>
    <t xml:space="preserve">Where will the musicians be? </t>
  </si>
  <si>
    <t>Did you know Silver Sycamore staff may begin cleanup of the ceremony area after formal photos?</t>
  </si>
  <si>
    <t>Silver Sycamore will not pick up or remove decor but we will sweep and straighten chairs</t>
  </si>
  <si>
    <t>Did you know all Decor in Chapel or Ceremony Site must be removed at the end of the evening and nothing may be left over night?</t>
  </si>
  <si>
    <t>Did you know real flower petals are not allowed in the Chapel?</t>
  </si>
  <si>
    <t>Did you know that no open flames/candles are allowed in the Chapel?</t>
  </si>
  <si>
    <t>Silver Sycamore does not have ladders for vendors use to set up decor, please let vendors know they must bring their own ladder and padding to protect surfaces</t>
  </si>
  <si>
    <t>Have you completed your Wedding Processional/Recessional Information sheet PDF?</t>
  </si>
  <si>
    <t>Processional/Recessional Layout</t>
  </si>
  <si>
    <t>Please note: you will print this and email it to your coordinator</t>
  </si>
  <si>
    <r>
      <rPr>
        <rFont val="Calibri"/>
        <sz val="12.0"/>
      </rPr>
      <t xml:space="preserve">Have you completed the
 DJ Questionnaire
and sent it to your coordninator and DJ?
</t>
    </r>
    <r>
      <rPr>
        <rFont val="Calibri"/>
        <sz val="9.0"/>
      </rPr>
      <t>(only is SS DJ is in your package)</t>
    </r>
  </si>
  <si>
    <t>DJ Questionnaire</t>
  </si>
  <si>
    <t>Please note: you will print this and email it to your coordinator adn dj</t>
  </si>
  <si>
    <t>Reception Setup Questions</t>
  </si>
  <si>
    <t>What location will the Reception be held?</t>
  </si>
  <si>
    <t>Silver Sycamore will make the decision the day before to move Reception to an indoor location in case of inclement weather.</t>
  </si>
  <si>
    <t>If you have an outdoor reception, are you aware food will be served buffet style in the saloon</t>
  </si>
  <si>
    <t>Which Floor Plan do you like?(Please find options on next sheet)</t>
  </si>
  <si>
    <t>"Aubrey Style" Town FP #1 set up</t>
  </si>
  <si>
    <t>Town Floor Plan #2</t>
  </si>
  <si>
    <t>Do you need a memory table/favor table?</t>
  </si>
  <si>
    <t>*Extra charge may occur if satin linens are used</t>
  </si>
  <si>
    <t>Would you like to add our Cake Gazebo with your Inital?</t>
  </si>
  <si>
    <t>What size Cake table do you want?</t>
  </si>
  <si>
    <t xml:space="preserve">*If you are using a Cake Gazebo then we reccomend a 36" round. If not then we reccomend a 60" round. </t>
  </si>
  <si>
    <t>Do you have your own  Cake Service Set and Champagne Glasses?</t>
  </si>
  <si>
    <t>*No extra charge to use Silver Sycamore's</t>
  </si>
  <si>
    <t xml:space="preserve">What will your Cake topper be? </t>
  </si>
  <si>
    <t>Will you have a sweetheart table or head table?</t>
  </si>
  <si>
    <t>Do you need reserved tables?</t>
  </si>
  <si>
    <t>***It is very important to reserve tables for Family and Bridal Party**</t>
  </si>
  <si>
    <t>If reserving a family table, how many seats will you need?</t>
  </si>
  <si>
    <t xml:space="preserve">Round tables seat 10,                                  6' Banquets seat 3-5 if one-sided, or 6-8 if two-sided        </t>
  </si>
  <si>
    <t>If reserving a wedding party table, how many seats will you need?</t>
  </si>
  <si>
    <t xml:space="preserve">If using Silver Sycamore linens, please list the following linen colors: 
Guest Table?
Sweetheart Table?
Cake Table?
Napkins?
Any other linens? </t>
  </si>
  <si>
    <t xml:space="preserve">Will you have chair ties, runners, chargers? </t>
  </si>
  <si>
    <t>Are you assigning seats to your guests?</t>
  </si>
  <si>
    <t xml:space="preserve">What size dance floor are you using outside?        </t>
  </si>
  <si>
    <t>Small 12 x15, (up to 100 guests)  Medium 15x 18,(up to 150 guest )     Large 18 x24, (up to 200 guests)                Ex Large 24 x30 ( over 200 guests)</t>
  </si>
  <si>
    <t>Are you bringing Centerpieces or using Silver Sycamore's Something Borrowed Shelves</t>
  </si>
  <si>
    <t xml:space="preserve">*If using Silver Sycamore centerpieces, then coordinator will set out before your arrival </t>
  </si>
  <si>
    <t>Would you like to add any additional rental items?
-photobooth -cake gazebo -mechanical bull -heaters -popcorn machine -yard games -trolley -harpist -other</t>
  </si>
  <si>
    <t>Additional Reception Questions</t>
  </si>
  <si>
    <t>If using Silver Sycamore catering, which menu have you chosen?</t>
  </si>
  <si>
    <t xml:space="preserve">*Remember to email sycamorebrides@gmail.com with menu selecitons, if not already chosen </t>
  </si>
  <si>
    <t>Will you have alcohol?</t>
  </si>
  <si>
    <t xml:space="preserve">*Included alcohol: </t>
  </si>
  <si>
    <t xml:space="preserve">Will you have a Town Sign? </t>
  </si>
  <si>
    <t xml:space="preserve">Town Sign </t>
  </si>
  <si>
    <t>What will your Town Sign say? Ex: Smithville, Foreverville, Sam and Monica</t>
  </si>
  <si>
    <t>Will you take couples pictures around the property before or after the ceremony?</t>
  </si>
  <si>
    <t>Do you approve Silver Sycamore  "going live" on social media from your event?</t>
  </si>
  <si>
    <t>Will DJ announce entire bridal party or just Mr and Mrs?</t>
  </si>
  <si>
    <t xml:space="preserve">*Be sure to send names of Bridal Party to DJ if introducing the whole bridal party </t>
  </si>
  <si>
    <t>If announcing entire Bridal Party, what are their names?</t>
  </si>
  <si>
    <t>How would you like to be introduced?
"Mr. &amp; Mrs. John Smith"
"Mr. &amp; Mrs. Smith"
Other</t>
  </si>
  <si>
    <t>Would you like to release tables fro food service one by one or let anyone join the line after family and bridal party?</t>
  </si>
  <si>
    <t>This can be performed by the Coordinator in your package. Unless Venue Rental only</t>
  </si>
  <si>
    <t>End of Reception Questions</t>
  </si>
  <si>
    <t xml:space="preserve">What will your exit be with? </t>
  </si>
  <si>
    <t>*No glitter, confetti, birdseed, rice</t>
  </si>
  <si>
    <t>Who Have you assigned (person/persons) to remove all decor items?</t>
  </si>
  <si>
    <t>All personal items must be removed 30 minutes after the event</t>
  </si>
  <si>
    <t>Who Have you assigned (person/persons) to remove all items from the bridal cottage and jail?</t>
  </si>
  <si>
    <t>Did you know the staff will go in Bridal Cottage and Jail to start the cleanup before the event is over ?</t>
  </si>
  <si>
    <t xml:space="preserve">*Silver Sycamore staff will not touch personal belongings, but will pick up trash and sweep </t>
  </si>
  <si>
    <t>Misc. Silver Sycamore Questions</t>
  </si>
  <si>
    <t>Did you know you can find a list of our favorite vendors who are familiar at working at Silver Sycamore on the preferred vendor page in your folder?</t>
  </si>
  <si>
    <t>Silver Sycamore Recommended Vendors</t>
  </si>
  <si>
    <t>DJ's play a HUGE role in your wedding. It is essential to hire a qualified DJ who will keep your crowd engaged and lively all night long. Will you be sure to get all music selections to DJ approximately 2-3 months before the wedding?</t>
  </si>
  <si>
    <t>MANY minor wedding day hiccups can be avoided by rereading your Silver Sycamore contract. We want your day to be as flawless as you've imagined! Have you recently reread your contract?</t>
  </si>
  <si>
    <t>&lt;--This is really important :)</t>
  </si>
  <si>
    <t>A damage deposit is required for every event. We are aware we will be asked for a card to have on file.</t>
  </si>
  <si>
    <t xml:space="preserve">If no damages are found, the card put on file will be shredded
Please note: Payments made through the invoice does NOT store card information </t>
  </si>
  <si>
    <t>What is the best phone number / email address to reach you at?</t>
  </si>
  <si>
    <t>Please remind your friends &amp; family that although we are absolutely happy to help with a multitude of things throughout the day that we are working on putting together your event and are not the decorating team. To maintain your schedule for your decorating please have your family and friends assigned as needed.</t>
  </si>
  <si>
    <r>
      <rPr>
        <rFont val="Calibri"/>
        <sz val="12.0"/>
      </rPr>
      <t>Did you know that a TEAM of folks help make wedding day magic happen here at Silver Sycamore ? We will schedule a coordinator to be here with you throughout your wedding day, and add a second team member before the ceremony.                        **If you are "</t>
    </r>
    <r>
      <rPr>
        <rFont val="Calibri"/>
        <b/>
        <sz val="12.0"/>
      </rPr>
      <t>Venue Rental Only</t>
    </r>
    <r>
      <rPr>
        <rFont val="Calibri"/>
        <sz val="12.0"/>
      </rPr>
      <t>" , please be prepared to bring your own Team for all set up***</t>
    </r>
  </si>
  <si>
    <t>There are so many spaces at Silver Sycamore for children to wander around. Please give name and contact number of who would be in charged overall of children</t>
  </si>
  <si>
    <r>
      <rPr>
        <rFont val="Calibri"/>
      </rPr>
      <t>****</t>
    </r>
    <r>
      <rPr>
        <rFont val="Calibri"/>
        <b/>
      </rPr>
      <t>This is Required</t>
    </r>
    <r>
      <rPr>
        <rFont val="Calibri"/>
      </rPr>
      <t>*****</t>
    </r>
  </si>
  <si>
    <t>We are aware no children are allowed near the pond and we have told parents of chidlren to make sure their children do not climb on the rocks</t>
  </si>
  <si>
    <t>Do you have any other details you want us to know about? (Reminder we cannot be responsible for all decorating, but are absolutely willing to help!)</t>
  </si>
  <si>
    <t>This is a great space to include what decor you are bringing</t>
  </si>
  <si>
    <t>Reminders:</t>
  </si>
  <si>
    <t>- We will be having the  DJ to announce that there is no smoking except in designated areas and that no cars may be left overnight unless they are overnight guests</t>
  </si>
  <si>
    <t>-If you have booked for Rental Only remember Dessert plates, napkins, and silverware are NOT provided by the caterer unless you have made arrangements with them prior to the wedding.</t>
  </si>
  <si>
    <t>- Please be sure your vendors are aware that setup and pickup must fall in the rental period.
All venodrs and personal items are to be removed within 30 minutes of event</t>
  </si>
  <si>
    <t>Decorating:</t>
  </si>
  <si>
    <t>Please share these notes with your decorating team:</t>
  </si>
  <si>
    <t xml:space="preserve">- Decorating is NOT stressful unless you choose an easily stressed out person to lead the decorating process.  </t>
  </si>
  <si>
    <t xml:space="preserve">- Decorating happens quickly and easily when you setup one or two sample tables completely. Then, everyone helping knows what to do without asking lots of questions. </t>
  </si>
  <si>
    <t>- On average, it seems that approximately 5 friends/family members help decorate unless a florist is heavily involved. We have had some
 instances of 2 or 3 people decorating with a simple setup, and literally instances of 30+ friends and family helping with a big setup.</t>
  </si>
  <si>
    <t>- On average, decorating takes about an hour if using linens provided by Silver Sycamore , and about an hour and a half if outside linens are used.</t>
  </si>
  <si>
    <t xml:space="preserve">- If you have rented linens from Silver Sycamore, they will be on the tables when you arrive. </t>
  </si>
  <si>
    <t xml:space="preserve">Wedding Date: </t>
  </si>
  <si>
    <t xml:space="preserve">Music Concludes/ Event Ends </t>
  </si>
  <si>
    <t>Desiin maker phone number</t>
  </si>
  <si>
    <t>DJ / Band if not SS</t>
  </si>
  <si>
    <t>Ceremony Location</t>
  </si>
  <si>
    <t>Will you be having a Sand Ceremony and need a table?</t>
  </si>
  <si>
    <t>Reception Location</t>
  </si>
  <si>
    <t>Would you prefer food service outside or in Saloon if have a Town Reception?</t>
  </si>
  <si>
    <t>Any extra tables needed? if so , which size and where do you need them?</t>
  </si>
  <si>
    <t>How many tables for the bridal party to be reserved?</t>
  </si>
  <si>
    <t>How many tables Reserved for the Family?</t>
  </si>
  <si>
    <t>Will we be introducing just Mr and Mrs. or entire bridal party</t>
  </si>
  <si>
    <t>Any extra Rental Items like Heater/Coolers or amusements</t>
  </si>
  <si>
    <t xml:space="preserve">Date: </t>
  </si>
  <si>
    <t xml:space="preserve">Bride: </t>
  </si>
  <si>
    <t>Reception Hall Layout Examples</t>
  </si>
  <si>
    <t>These floor plans are based on 100 guest. Additional guest will require additional tables
These are our most popular floor plans ~ if you are wanting something different, please let us know
and we will be happy to make custom floor plan</t>
  </si>
  <si>
    <t>Don't forget! We have additional add on's to make your event extra special!
Dance floors
Yard Games
Customized Town Sign
Photobooth
Mechanical Bull
Heaters
and more!</t>
  </si>
  <si>
    <t>Town Floor Plan #1</t>
  </si>
  <si>
    <t>Catering Buffet and bar are located in the saloon</t>
  </si>
  <si>
    <t>TownFloor Plan #2</t>
  </si>
  <si>
    <t>Town Floor Plan #3</t>
  </si>
  <si>
    <t>These floor plans are based on 100 guest. Additional guest will require additional tables
These are our most popular floor plans ~ if you are wanting something different, please let us know
and we will be happy to make custom floor plan!
Reception Hall~ MAX number of tables WITH a dance floor is 20</t>
  </si>
  <si>
    <t>Don't forget! We have additional add on's to make your event extra special!
Yard Games
Customized Town Sign
Photobooth
Mechanical Bull
and more!</t>
  </si>
  <si>
    <t>Hall Floor Plan #1</t>
  </si>
  <si>
    <t>Hall Floor Plan #2</t>
  </si>
  <si>
    <t>Haue Valley - Q&amp;A Chat</t>
  </si>
  <si>
    <r>
      <rPr>
        <b/>
        <sz val="14.0"/>
      </rPr>
      <t xml:space="preserve">**Do you have questions for the Haue Valley team that you normally would send via email? Instead, ask the question below AND then right click on the cell, select "insert comment" and comment @hauevalley@gmail.com (write that exactly and we will be notified that you have a question). </t>
    </r>
    <r>
      <rPr>
        <sz val="14.0"/>
      </rPr>
      <t xml:space="preserve">We will respond in the box below and you will be notified via email. This is a great way to keep all of our communication in one place, as opposed to spread out over multiple emails.  </t>
    </r>
    <r>
      <rPr>
        <b/>
        <sz val="18.0"/>
      </rPr>
      <t xml:space="preserve">YOU </t>
    </r>
    <r>
      <rPr>
        <b/>
        <sz val="18.0"/>
        <u/>
      </rPr>
      <t>MUST RIGHT CLICK AND INSERT A COMMENT</t>
    </r>
    <r>
      <rPr>
        <b/>
        <sz val="18.0"/>
      </rPr>
      <t xml:space="preserve"> USING THE @HAUEVALLEY@GMAIL.COM EVERY TIME YOU TYPE A NEW QUESTION IN ORDER TO NOTIFY US THAT YOU HAVE ONE</t>
    </r>
    <r>
      <rPr>
        <b/>
        <sz val="24.0"/>
      </rPr>
      <t xml:space="preserve">. </t>
    </r>
    <r>
      <rPr>
        <b/>
        <sz val="14.0"/>
      </rPr>
      <t>THANKS!!</t>
    </r>
  </si>
  <si>
    <t>Question:</t>
  </si>
  <si>
    <t>Answer:</t>
  </si>
  <si>
    <t>Silver Sycamore  Blog Feature</t>
  </si>
  <si>
    <t>How to use this tab:</t>
  </si>
  <si>
    <t>Greetings! We would LOVE to feature your big day on social media, on the blog, etc. Below are details we would like to know to help tell the story of your wedding day. Please note we do need YOU to please send us your professional photos in order to be featured and we need written permission from your photographer to post them.</t>
  </si>
  <si>
    <t>Would you like your wedding to be featured on our blog?</t>
  </si>
  <si>
    <t>Tell us the short story of how you met one another.</t>
  </si>
  <si>
    <t xml:space="preserve">Tell us about the proposal! </t>
  </si>
  <si>
    <t>What moment are you most looking forward to on your wedding day? (Make sure your photographer knows to capture it!)</t>
  </si>
  <si>
    <t>Why did you choose Silver Sycamore?</t>
  </si>
  <si>
    <t>In a few words describe your theme or style for your wedding. (Ie- Boho, Glam, Rustic, Etc.)</t>
  </si>
  <si>
    <t>Is there anything else you can tell us about your love story?</t>
  </si>
  <si>
    <t>Is there anything else you think future couples will find interesting / helpful about your wedding? (Ie - planned from out of state, a must have was your dog in the ceremony, etc.)</t>
  </si>
  <si>
    <t>Do you have any advice for future couples?</t>
  </si>
  <si>
    <t>What was your favorite part about your wedding day?</t>
  </si>
  <si>
    <t>Will you remember to send us your professional photos when you receive them?</t>
  </si>
  <si>
    <t>Wedding Day Schedule</t>
  </si>
  <si>
    <t>This is YOUR Schedule !</t>
  </si>
  <si>
    <t>This tab is completely customizable with the exception of the rows in yellow. Feel free to modify to fit your schedule.</t>
  </si>
  <si>
    <t>Time:</t>
  </si>
  <si>
    <t>Location:</t>
  </si>
  <si>
    <t>Point Person:</t>
  </si>
  <si>
    <t>Point Person Number:</t>
  </si>
  <si>
    <t>Important Notes:</t>
  </si>
  <si>
    <t>Bridesmaids Meet Bride</t>
  </si>
  <si>
    <t>Groomsmen Meet Groom</t>
  </si>
  <si>
    <t>Breakfast/Snacks Delivered  to Ladies &amp; Men</t>
  </si>
  <si>
    <t>Hair and Makeup Begins</t>
  </si>
  <si>
    <t>Hair and Makeup Completed</t>
  </si>
  <si>
    <t xml:space="preserve"> &lt; Insert helpful notes&gt; </t>
  </si>
  <si>
    <t>Before  Ceremony Pics</t>
  </si>
  <si>
    <t>Venue Opens</t>
  </si>
  <si>
    <t>*Please make sure your outside vendors are aware of this time</t>
  </si>
  <si>
    <t>*Generally as soon as venue opens</t>
  </si>
  <si>
    <t>Lunch/Snacks Delivered to Venue by Someone</t>
  </si>
  <si>
    <t xml:space="preserve">Photographer Arrives </t>
  </si>
  <si>
    <t>*Confirm time week of wedding</t>
  </si>
  <si>
    <t xml:space="preserve">Videographer Arrives </t>
  </si>
  <si>
    <t>Florist Arrives</t>
  </si>
  <si>
    <t>Cake/Treats Arrives</t>
  </si>
  <si>
    <t>Men Arrive at Venue and get Dressed</t>
  </si>
  <si>
    <t>Put on The Dress</t>
  </si>
  <si>
    <t>First Look Photos With Bride/Groom</t>
  </si>
  <si>
    <t>First Look Photos With Bride &amp; Other Special People</t>
  </si>
  <si>
    <t>Bartenders Arrive</t>
  </si>
  <si>
    <t>Bridal Party Lines Up</t>
  </si>
  <si>
    <t xml:space="preserve">*Generally plan for 30 minutes / Reminder no birdseed or confetti, faux flower petals thrown, etc. </t>
  </si>
  <si>
    <t>Ceremony Ends</t>
  </si>
  <si>
    <t>*Generally immediately after the ceremony</t>
  </si>
  <si>
    <t>Family, Bridal Party, and Couples Photos</t>
  </si>
  <si>
    <t>*Generally plan for30-50 minutes</t>
  </si>
  <si>
    <t>Bridal Party Announced</t>
  </si>
  <si>
    <t>Buffe Opens</t>
  </si>
  <si>
    <t>*Confirm who is cutting and serving your cake. Reminder cake plate/napkins/silverware is not included by caterers.</t>
  </si>
  <si>
    <t>Toast</t>
  </si>
  <si>
    <t>First Dance</t>
  </si>
  <si>
    <t>Pack Gifts into Vehicle</t>
  </si>
  <si>
    <t>Venue Closes</t>
  </si>
  <si>
    <t>Party continued off site</t>
  </si>
  <si>
    <t xml:space="preserve"> &lt; enter site&gt; </t>
  </si>
  <si>
    <t>Wedding Day Packing List</t>
  </si>
  <si>
    <t>This tab can be completely customizable with the exception of the rows in yellow. Feel free to modify to fit your needs.</t>
  </si>
  <si>
    <t>Item</t>
  </si>
  <si>
    <t>Who's Responsible</t>
  </si>
  <si>
    <t>Picked Up From (Location)</t>
  </si>
  <si>
    <t xml:space="preserve">Delivered To (Location) </t>
  </si>
  <si>
    <t>Delivered By (Time)</t>
  </si>
  <si>
    <t>What Happens to This Item at the End of the Night?</t>
  </si>
  <si>
    <t>Copy of save the date, wedding invitation, etc. for your photographer to take pictures of</t>
  </si>
  <si>
    <t>Marriage license</t>
  </si>
  <si>
    <t>Rings</t>
  </si>
  <si>
    <t>Shoes</t>
  </si>
  <si>
    <t>Dress</t>
  </si>
  <si>
    <t>Tuxedo</t>
  </si>
  <si>
    <t>To Do List</t>
  </si>
  <si>
    <t>*This is just a starting point! Add lines and make it your own.</t>
  </si>
  <si>
    <t>Task</t>
  </si>
  <si>
    <t>Due</t>
  </si>
  <si>
    <t>Status</t>
  </si>
  <si>
    <t>Person Responsible</t>
  </si>
  <si>
    <t>Notes:</t>
  </si>
  <si>
    <t>Print &amp; save a copy of Silver Sycamore  contract</t>
  </si>
  <si>
    <t>Book Silver Sycamore Bed and Breakfast room block</t>
  </si>
  <si>
    <t>Looking for recommendations on vendors?</t>
  </si>
  <si>
    <t>Book photographer</t>
  </si>
  <si>
    <t>(Generally photographers book one couple per day. Book yours as soon as you have a date.)</t>
  </si>
  <si>
    <t xml:space="preserve"> &lt; Enter Link&gt;</t>
  </si>
  <si>
    <t>Schedule engagement photos</t>
  </si>
  <si>
    <t>(These can be taken on Silver Sycamore grounds just call for appointment time)</t>
  </si>
  <si>
    <t>Purchase wedding attire</t>
  </si>
  <si>
    <t>(Dresses take much longer to order than many brides expect!)</t>
  </si>
  <si>
    <t>Send save the dates (optional)</t>
  </si>
  <si>
    <t>Touch base with  DJ</t>
  </si>
  <si>
    <r>
      <rPr>
        <b val="0"/>
      </rPr>
      <t xml:space="preserve">(DJ's do SO MUCH more than just play music. They play a </t>
    </r>
    <r>
      <rPr>
        <b val="0"/>
        <i/>
      </rPr>
      <t>critical</t>
    </r>
    <r>
      <rPr>
        <b val="0"/>
      </rPr>
      <t xml:space="preserve"> role in the success of your day.)</t>
    </r>
  </si>
  <si>
    <t xml:space="preserve">Book videographer </t>
  </si>
  <si>
    <t>(Some book as far in advance as photographers.)</t>
  </si>
  <si>
    <t>Book florist</t>
  </si>
  <si>
    <t xml:space="preserve">Attend a Silver Sycamore  open house </t>
  </si>
  <si>
    <t>Check our Calendar for dates</t>
  </si>
  <si>
    <t>Book Rehearsal Dinner</t>
  </si>
  <si>
    <t>Check pricing at Silver Sycamore</t>
  </si>
  <si>
    <t>Book officiant</t>
  </si>
  <si>
    <r>
      <rPr/>
      <t xml:space="preserve">(Make sure they are </t>
    </r>
    <r>
      <rPr>
        <i/>
      </rPr>
      <t>reliable!</t>
    </r>
    <r>
      <rPr/>
      <t xml:space="preserve"> They are critical to your big day.)</t>
    </r>
  </si>
  <si>
    <t>Schedule catering tastings</t>
  </si>
  <si>
    <t>Schedule cake tasting /sweets</t>
  </si>
  <si>
    <t xml:space="preserve">Determine shower date(s) </t>
  </si>
  <si>
    <t>(Check dates and Shower Pricing at Silver Sycamore)</t>
  </si>
  <si>
    <t>Send shower thank you cards</t>
  </si>
  <si>
    <t>Finalize guest list</t>
  </si>
  <si>
    <t>Send invitations</t>
  </si>
  <si>
    <t xml:space="preserve">Get marriage license </t>
  </si>
  <si>
    <t>Complete required information tab</t>
  </si>
  <si>
    <t>Confirm timeline with all vendors / family / bridal party</t>
  </si>
  <si>
    <t>Finalize seating chart (optional)</t>
  </si>
  <si>
    <t xml:space="preserve">Rehearsal </t>
  </si>
  <si>
    <t>Send thank you cards</t>
  </si>
  <si>
    <t>Invitation Tracker</t>
  </si>
  <si>
    <t>*Guests often return RSVP cards without a name on accident. Consider marking each RSVP card with a number so you know who has returned them and who hasn't!</t>
  </si>
  <si>
    <t>Invitation #</t>
  </si>
  <si>
    <t>Guest Name</t>
  </si>
  <si>
    <t xml:space="preserve"># Invited </t>
  </si>
  <si>
    <t>Mailed?</t>
  </si>
  <si>
    <t>RSVP</t>
  </si>
  <si>
    <t># Accepted</t>
  </si>
  <si>
    <t>Bride or Groom's Side</t>
  </si>
  <si>
    <t>Address</t>
  </si>
  <si>
    <t>City</t>
  </si>
  <si>
    <t>State</t>
  </si>
  <si>
    <t>Zip</t>
  </si>
  <si>
    <t>Email</t>
  </si>
  <si>
    <t>Shower Invite?</t>
  </si>
  <si>
    <t># Attending Shower</t>
  </si>
  <si>
    <t>Shower Thank You Sent?</t>
  </si>
  <si>
    <t>Wedding Thank You Sent</t>
  </si>
  <si>
    <t>The Family of Tom Jones</t>
  </si>
  <si>
    <t>Yes</t>
  </si>
  <si>
    <t>Attending</t>
  </si>
  <si>
    <t xml:space="preserve">Bride </t>
  </si>
  <si>
    <t>123 Tom Street</t>
  </si>
  <si>
    <t>Houston</t>
  </si>
  <si>
    <t>TX</t>
  </si>
  <si>
    <t>111.111.1111</t>
  </si>
  <si>
    <t>Example@example.com</t>
  </si>
  <si>
    <t>Total:</t>
  </si>
  <si>
    <t>Table Assignments</t>
  </si>
  <si>
    <t xml:space="preserve">Note: At Silver Sycamore  we generally do not recommend assigned seating unless you believe you will max out capacity at 200 guests. You have several options for seating at our venue. 1) All open seating 2) A few reserved tables for close family or 3) An assigned seat for each guest. It's completely up to you! By entering each name into a cell below your total number of head table party members and total guests not sitting at the head table will total for you. These numbers should match your confirmed guest RSVPs once you have assigned each person a seat. </t>
  </si>
  <si>
    <t>Total Head Table:</t>
  </si>
  <si>
    <t>Total Guest Seats Assigned:</t>
  </si>
  <si>
    <t>Head Table</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</si>
  <si>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</si>
  <si>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</si>
  <si>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</si>
  <si>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</si>
  <si>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</si>
  <si>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</si>
  <si>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</si>
  <si>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</si>
  <si>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</si>
  <si>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</si>
  <si>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</si>
  <si>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</si>
  <si>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</si>
  <si>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</si>
  <si>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</si>
  <si>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</si>
  <si>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</si>
  <si>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</si>
  <si>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</si>
  <si>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</si>
  <si>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</si>
  <si>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</si>
  <si>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</si>
  <si>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</si>
  <si>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</si>
  <si>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Bride Name</t>
  </si>
  <si>
    <t>Guest 1 Name</t>
  </si>
  <si>
    <t>Groom Name</t>
  </si>
  <si>
    <t>Guest 2 Name</t>
  </si>
  <si>
    <t>MOH Name</t>
  </si>
  <si>
    <t>etc.</t>
  </si>
  <si>
    <t>Etc.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</si>
</sst>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mm am/pm"/>
    <numFmt numFmtId="167" formatCode="h&quot;:&quot;mm&quot;:&quot;ss&quot; &quot;am/pm"/>
    <numFmt numFmtId="168" formatCode="m/d/yyyy"/>
  </numFmts>
  <fonts count="50">
    <font>
      <sz val="10.0"/>
      <color rgb="FF000000"/>
      <name val="Arial"/>
    </font>
    <font>
      <b/>
      <sz val="24.0"/>
      <name val="Calibri"/>
    </font>
    <font>
      <name val="Calibri"/>
    </font>
    <font>
      <b/>
      <name val="Calibri"/>
    </font>
    <font/>
    <font>
      <b/>
      <sz val="18.0"/>
      <name val="Calibri"/>
    </font>
    <font>
      <sz val="18.0"/>
      <name val="Calibri"/>
    </font>
    <font>
      <b/>
      <i/>
      <u/>
      <name val="Calibri"/>
    </font>
    <font>
      <b/>
      <i/>
      <u/>
      <sz val="12.0"/>
      <name val="Calibri"/>
    </font>
    <font>
      <b/>
      <u/>
      <sz val="12.0"/>
      <name val="Calibri"/>
    </font>
    <font>
      <b/>
      <sz val="12.0"/>
      <name val="Calibri"/>
    </font>
    <font>
      <sz val="12.0"/>
      <name val="Calibri"/>
    </font>
    <font>
      <sz val="12.0"/>
      <color rgb="FF222222"/>
      <name val="Roboto"/>
    </font>
    <font>
      <b/>
      <sz val="16.0"/>
      <name val="Calibri"/>
    </font>
    <font>
      <b/>
      <u/>
      <sz val="14.0"/>
      <name val="Calibri"/>
    </font>
    <font>
      <sz val="14.0"/>
      <color rgb="FF1155CC"/>
      <name val="Calibri"/>
    </font>
    <font>
      <u/>
      <color rgb="FF0000FF"/>
      <name val="Calibri"/>
    </font>
    <font>
      <u/>
      <color rgb="FF0000FF"/>
      <name val="Calibri"/>
    </font>
    <font>
      <b/>
      <u/>
      <sz val="14.0"/>
      <color rgb="FF1155CC"/>
      <name val="Calibri"/>
    </font>
    <font>
      <sz val="10.0"/>
      <color rgb="FF000000"/>
      <name val="Calibri"/>
    </font>
    <font>
      <u/>
      <sz val="12.0"/>
      <name val="Calibri"/>
    </font>
    <font>
      <u/>
      <color rgb="FF1155CC"/>
      <name val="Calibri"/>
    </font>
    <font>
      <u/>
      <sz val="12.0"/>
      <color rgb="FF0000FF"/>
      <name val="Calibri"/>
    </font>
    <font>
      <b/>
      <sz val="14.0"/>
      <name val="Calibri"/>
    </font>
    <font>
      <sz val="14.0"/>
      <name val="Calibri"/>
    </font>
    <font>
      <sz val="13.0"/>
      <name val="Calibri"/>
    </font>
    <font>
      <b/>
      <sz val="20.0"/>
      <name val="Calibri"/>
    </font>
    <font>
      <name val="Arial"/>
    </font>
    <font>
      <b/>
      <sz val="12.0"/>
      <color rgb="FF1155CC"/>
    </font>
    <font>
      <sz val="12.0"/>
    </font>
    <font>
      <color rgb="FF000000"/>
    </font>
    <font>
      <b/>
      <sz val="12.0"/>
      <color rgb="FF1155CC"/>
      <name val="Calibri"/>
    </font>
    <font>
      <b/>
      <sz val="12.0"/>
      <color rgb="FF1155CC"/>
      <name val="Arial"/>
    </font>
    <font>
      <b/>
    </font>
    <font>
      <sz val="18.0"/>
    </font>
    <font>
      <sz val="18.0"/>
      <name val="Arial"/>
    </font>
    <font>
      <sz val="14.0"/>
    </font>
    <font>
      <b/>
      <u/>
      <sz val="18.0"/>
      <color rgb="FF0000FF"/>
    </font>
    <font>
      <b/>
      <u/>
    </font>
    <font>
      <b/>
      <u/>
    </font>
    <font>
      <i/>
    </font>
    <font>
      <b/>
      <u/>
    </font>
    <font>
      <b/>
      <i/>
    </font>
    <font>
      <b/>
      <u/>
    </font>
    <font>
      <b/>
      <u/>
    </font>
    <font>
      <b/>
      <sz val="12.0"/>
      <color rgb="FF1155CC"/>
      <name val="Inconsolata"/>
    </font>
    <font>
      <b/>
      <sz val="12.0"/>
    </font>
    <font>
      <b/>
      <u/>
      <name val="Arial"/>
    </font>
    <font>
      <b/>
      <u/>
      <name val="Arial"/>
    </font>
    <font>
      <sz val="11.0"/>
      <color rgb="FF1155CC"/>
      <name val="Inconsolata"/>
    </font>
  </fonts>
  <fills count="16">
    <fill>
      <patternFill patternType="none"/>
    </fill>
    <fill>
      <patternFill patternType="lightGray"/>
    </fill>
    <fill>
      <patternFill patternType="solid">
        <fgColor rgb="FFF1C232"/>
        <bgColor rgb="FFF1C232"/>
      </patternFill>
    </fill>
    <fill>
      <patternFill patternType="solid">
        <fgColor rgb="FFD5A6BD"/>
        <bgColor rgb="FFD5A6BD"/>
      </patternFill>
    </fill>
    <fill>
      <patternFill patternType="solid">
        <fgColor rgb="FF6AA84F"/>
        <bgColor rgb="FF6AA84F"/>
      </patternFill>
    </fill>
    <fill>
      <patternFill patternType="solid">
        <fgColor rgb="FFB4A7D6"/>
        <bgColor rgb="FFB4A7D6"/>
      </patternFill>
    </fill>
    <fill>
      <patternFill patternType="solid">
        <fgColor rgb="FFCFE2F3"/>
        <bgColor rgb="FFCFE2F3"/>
      </patternFill>
    </fill>
    <fill>
      <patternFill patternType="solid">
        <fgColor rgb="FFFFFFFF"/>
        <bgColor rgb="FFFFFFFF"/>
      </patternFill>
    </fill>
    <fill>
      <patternFill patternType="solid">
        <fgColor rgb="FFFFD966"/>
        <bgColor rgb="FFFFD966"/>
      </patternFill>
    </fill>
    <fill>
      <patternFill patternType="solid">
        <fgColor rgb="FFFFFF00"/>
        <bgColor rgb="FFFFFF00"/>
      </patternFill>
    </fill>
    <fill>
      <patternFill patternType="solid">
        <fgColor rgb="FF57BB8A"/>
        <bgColor rgb="FF57BB8A"/>
      </patternFill>
    </fill>
    <fill>
      <patternFill patternType="solid">
        <fgColor rgb="FFEAD1DC"/>
        <bgColor rgb="FFEAD1DC"/>
      </patternFill>
    </fill>
    <fill>
      <patternFill patternType="solid">
        <fgColor rgb="FFFFF2CC"/>
        <bgColor rgb="FFFFF2CC"/>
      </patternFill>
    </fill>
    <fill>
      <patternFill patternType="solid">
        <fgColor rgb="FF9FC5E8"/>
        <bgColor rgb="FF9FC5E8"/>
      </patternFill>
    </fill>
    <fill>
      <patternFill patternType="solid">
        <fgColor rgb="FFFFE599"/>
        <bgColor rgb="FFFFE599"/>
      </patternFill>
    </fill>
    <fill>
      <patternFill patternType="solid">
        <fgColor rgb="FF434343"/>
        <bgColor rgb="FF43434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2" numFmtId="0" xfId="0" applyAlignment="1" applyFont="1">
      <alignment horizontal="right" readingOrder="0"/>
    </xf>
    <xf borderId="1" fillId="2" fontId="3" numFmtId="164" xfId="0" applyAlignment="1" applyBorder="1" applyFill="1" applyFont="1" applyNumberFormat="1">
      <alignment readingOrder="0"/>
    </xf>
    <xf borderId="0" fillId="0" fontId="2" numFmtId="0" xfId="0" applyAlignment="1" applyFont="1">
      <alignment horizontal="right" readingOrder="0" vertical="center"/>
    </xf>
    <xf borderId="1" fillId="2" fontId="3" numFmtId="0" xfId="0" applyAlignment="1" applyBorder="1" applyFont="1">
      <alignment readingOrder="0" vertical="center"/>
    </xf>
    <xf borderId="0" fillId="3" fontId="3" numFmtId="0" xfId="0" applyAlignment="1" applyFill="1" applyFont="1">
      <alignment readingOrder="0"/>
    </xf>
    <xf borderId="0" fillId="3" fontId="3" numFmtId="0" xfId="0" applyAlignment="1" applyFont="1">
      <alignment readingOrder="0" vertical="center"/>
    </xf>
    <xf borderId="0" fillId="0" fontId="2" numFmtId="0" xfId="0" applyAlignment="1" applyFont="1">
      <alignment readingOrder="0" vertical="center"/>
    </xf>
    <xf borderId="2" fillId="2" fontId="3" numFmtId="0" xfId="0" applyAlignment="1" applyBorder="1" applyFont="1">
      <alignment readingOrder="0" vertical="center"/>
    </xf>
    <xf borderId="3" fillId="0" fontId="4" numFmtId="0" xfId="0" applyBorder="1" applyFont="1"/>
    <xf borderId="4" fillId="0" fontId="4" numFmtId="0" xfId="0" applyBorder="1" applyFont="1"/>
    <xf borderId="0" fillId="0" fontId="5" numFmtId="0" xfId="0" applyAlignment="1" applyFont="1">
      <alignment readingOrder="0"/>
    </xf>
    <xf borderId="0" fillId="0" fontId="2" numFmtId="0" xfId="0" applyAlignment="1" applyFont="1">
      <alignment readingOrder="0" shrinkToFit="0" vertical="center" wrapText="1"/>
    </xf>
    <xf borderId="0" fillId="0" fontId="6" numFmtId="0" xfId="0" applyAlignment="1" applyFont="1">
      <alignment horizontal="left" readingOrder="0"/>
    </xf>
    <xf borderId="0" fillId="0" fontId="2" numFmtId="0" xfId="0" applyAlignment="1" applyFont="1">
      <alignment vertical="center"/>
    </xf>
    <xf borderId="0" fillId="0" fontId="6" numFmtId="0" xfId="0" applyAlignment="1" applyFont="1">
      <alignment readingOrder="0" vertical="center"/>
    </xf>
    <xf borderId="0" fillId="0" fontId="1" numFmtId="0" xfId="0" applyAlignment="1" applyFont="1">
      <alignment readingOrder="0"/>
    </xf>
    <xf borderId="1" fillId="4" fontId="6" numFmtId="0" xfId="0" applyAlignment="1" applyBorder="1" applyFill="1" applyFont="1">
      <alignment readingOrder="0" vertical="center"/>
    </xf>
    <xf borderId="0" fillId="0" fontId="7" numFmtId="0" xfId="0" applyAlignment="1" applyFont="1">
      <alignment horizontal="right" readingOrder="0"/>
    </xf>
    <xf borderId="0" fillId="0" fontId="3" numFmtId="0" xfId="0" applyFont="1"/>
    <xf borderId="0" fillId="0" fontId="8" numFmtId="0" xfId="0" applyAlignment="1" applyFont="1">
      <alignment horizontal="right" readingOrder="0"/>
    </xf>
    <xf borderId="0" fillId="0" fontId="9" numFmtId="0" xfId="0" applyAlignment="1" applyFont="1">
      <alignment horizontal="center" readingOrder="0"/>
    </xf>
    <xf borderId="0" fillId="0" fontId="10" numFmtId="0" xfId="0" applyAlignment="1" applyFont="1">
      <alignment readingOrder="0" vertical="center"/>
    </xf>
    <xf borderId="0" fillId="0" fontId="10" numFmtId="0" xfId="0" applyFont="1"/>
    <xf borderId="0" fillId="0" fontId="10" numFmtId="0" xfId="0" applyAlignment="1" applyFont="1">
      <alignment horizontal="right" readingOrder="0"/>
    </xf>
    <xf borderId="0" fillId="2" fontId="10" numFmtId="165" xfId="0" applyAlignment="1" applyFont="1" applyNumberFormat="1">
      <alignment horizontal="center" readingOrder="0"/>
    </xf>
    <xf borderId="0" fillId="0" fontId="11" numFmtId="0" xfId="0" applyAlignment="1" applyFont="1">
      <alignment horizontal="right" readingOrder="0"/>
    </xf>
    <xf borderId="0" fillId="3" fontId="10" numFmtId="166" xfId="0" applyAlignment="1" applyFont="1" applyNumberFormat="1">
      <alignment horizontal="center" readingOrder="0"/>
    </xf>
    <xf borderId="0" fillId="5" fontId="10" numFmtId="167" xfId="0" applyAlignment="1" applyFill="1" applyFont="1" applyNumberFormat="1">
      <alignment horizontal="center"/>
    </xf>
    <xf borderId="0" fillId="5" fontId="10" numFmtId="167" xfId="0" applyAlignment="1" applyFont="1" applyNumberFormat="1">
      <alignment horizontal="center" readingOrder="0"/>
    </xf>
    <xf borderId="0" fillId="0" fontId="3" numFmtId="0" xfId="0" applyAlignment="1" applyFont="1">
      <alignment readingOrder="0"/>
    </xf>
    <xf borderId="0" fillId="0" fontId="3" numFmtId="0" xfId="0" applyAlignment="1" applyFont="1">
      <alignment readingOrder="0" vertical="center"/>
    </xf>
    <xf borderId="0" fillId="0" fontId="3" numFmtId="0" xfId="0" applyAlignment="1" applyFont="1">
      <alignment vertical="center"/>
    </xf>
    <xf borderId="0" fillId="3" fontId="11" numFmtId="0" xfId="0" applyAlignment="1" applyFont="1">
      <alignment readingOrder="0"/>
    </xf>
    <xf borderId="0" fillId="3" fontId="11" numFmtId="0" xfId="0" applyAlignment="1" applyFont="1">
      <alignment readingOrder="0" vertical="center"/>
    </xf>
    <xf borderId="0" fillId="0" fontId="10" numFmtId="0" xfId="0" applyAlignment="1" applyFont="1">
      <alignment readingOrder="0"/>
    </xf>
    <xf borderId="0" fillId="3" fontId="11" numFmtId="0" xfId="0" applyAlignment="1" applyFont="1">
      <alignment vertical="center"/>
    </xf>
    <xf borderId="0" fillId="6" fontId="11" numFmtId="0" xfId="0" applyAlignment="1" applyFill="1" applyFont="1">
      <alignment vertical="center"/>
    </xf>
    <xf borderId="0" fillId="6" fontId="11" numFmtId="0" xfId="0" applyFont="1"/>
    <xf borderId="0" fillId="3" fontId="12" numFmtId="0" xfId="0" applyAlignment="1" applyFont="1">
      <alignment readingOrder="0"/>
    </xf>
    <xf borderId="0" fillId="2" fontId="11" numFmtId="0" xfId="0" applyAlignment="1" applyFont="1">
      <alignment readingOrder="0"/>
    </xf>
    <xf borderId="0" fillId="2" fontId="11" numFmtId="0" xfId="0" applyAlignment="1" applyFont="1">
      <alignment readingOrder="0" vertical="center"/>
    </xf>
    <xf borderId="0" fillId="2" fontId="11" numFmtId="0" xfId="0" applyAlignment="1" applyFont="1">
      <alignment vertical="center"/>
    </xf>
    <xf borderId="0" fillId="0" fontId="11" numFmtId="0" xfId="0" applyAlignment="1" applyFont="1">
      <alignment horizontal="right" readingOrder="0" shrinkToFit="0" wrapText="1"/>
    </xf>
    <xf borderId="0" fillId="3" fontId="11" numFmtId="0" xfId="0" applyFont="1"/>
    <xf borderId="0" fillId="0" fontId="2" numFmtId="0" xfId="0" applyAlignment="1" applyFont="1">
      <alignment readingOrder="0"/>
    </xf>
    <xf borderId="0" fillId="0" fontId="11" numFmtId="0" xfId="0" applyAlignment="1" applyFont="1">
      <alignment readingOrder="0" shrinkToFit="0" wrapText="1"/>
    </xf>
    <xf borderId="0" fillId="0" fontId="11" numFmtId="0" xfId="0" applyFont="1"/>
    <xf borderId="0" fillId="7" fontId="2" numFmtId="0" xfId="0" applyFill="1" applyFont="1"/>
    <xf borderId="0" fillId="7" fontId="2" numFmtId="0" xfId="0" applyAlignment="1" applyFont="1">
      <alignment vertical="center"/>
    </xf>
    <xf borderId="0" fillId="0" fontId="13" numFmtId="0" xfId="0" applyAlignment="1" applyFont="1">
      <alignment readingOrder="0"/>
    </xf>
    <xf borderId="0" fillId="0" fontId="14" numFmtId="0" xfId="0" applyAlignment="1" applyFont="1">
      <alignment horizontal="left" readingOrder="0" vertical="center"/>
    </xf>
    <xf borderId="0" fillId="0" fontId="2" numFmtId="0" xfId="0" applyAlignment="1" applyFont="1">
      <alignment readingOrder="0" shrinkToFit="0" vertical="center" wrapText="1"/>
    </xf>
    <xf borderId="0" fillId="0" fontId="11" numFmtId="0" xfId="0" applyAlignment="1" applyFont="1">
      <alignment horizontal="center" readingOrder="0" shrinkToFit="0" wrapText="1"/>
    </xf>
    <xf borderId="0" fillId="3" fontId="2" numFmtId="0" xfId="0" applyAlignment="1" applyFont="1">
      <alignment readingOrder="0"/>
    </xf>
    <xf borderId="0" fillId="0" fontId="4" numFmtId="0" xfId="0" applyAlignment="1" applyFont="1">
      <alignment readingOrder="0" shrinkToFit="0" wrapText="0"/>
    </xf>
    <xf borderId="0" fillId="0" fontId="4" numFmtId="0" xfId="0" applyAlignment="1" applyFont="1">
      <alignment shrinkToFit="0" wrapText="1"/>
    </xf>
    <xf borderId="0" fillId="0" fontId="15" numFmtId="0" xfId="0" applyAlignment="1" applyFont="1">
      <alignment horizontal="center" readingOrder="0" vertical="center"/>
    </xf>
    <xf borderId="0" fillId="0" fontId="16" numFmtId="0" xfId="0" applyAlignment="1" applyFont="1">
      <alignment readingOrder="0" vertical="center"/>
    </xf>
    <xf borderId="0" fillId="7" fontId="2" numFmtId="0" xfId="0" applyAlignment="1" applyFont="1">
      <alignment readingOrder="0"/>
    </xf>
    <xf borderId="0" fillId="3" fontId="2" numFmtId="0" xfId="0" applyFont="1"/>
    <xf borderId="0" fillId="0" fontId="2" numFmtId="0" xfId="0" applyAlignment="1" applyFont="1">
      <alignment readingOrder="0" vertical="center"/>
    </xf>
    <xf borderId="0" fillId="0" fontId="17" numFmtId="0" xfId="0" applyAlignment="1" applyFont="1">
      <alignment readingOrder="0" shrinkToFit="0" vertical="center" wrapText="1"/>
    </xf>
    <xf borderId="0" fillId="0" fontId="2" numFmtId="0" xfId="0" applyAlignment="1" applyFont="1">
      <alignment readingOrder="0" shrinkToFit="0" vertical="center" wrapText="1"/>
    </xf>
    <xf borderId="0" fillId="3" fontId="3" numFmtId="0" xfId="0" applyFont="1"/>
    <xf borderId="0" fillId="0" fontId="18" numFmtId="0" xfId="0" applyAlignment="1" applyFont="1">
      <alignment horizontal="center" vertical="center"/>
    </xf>
    <xf borderId="0" fillId="0" fontId="19" numFmtId="0" xfId="0" applyAlignment="1" applyFont="1">
      <alignment horizontal="left" readingOrder="0" shrinkToFit="0" vertical="center" wrapText="1"/>
    </xf>
    <xf borderId="0" fillId="0" fontId="19"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0" numFmtId="0" xfId="0" applyAlignment="1" applyFont="1">
      <alignment horizontal="center" readingOrder="0" vertical="center"/>
    </xf>
    <xf borderId="0" fillId="0" fontId="21" numFmtId="0" xfId="0" applyAlignment="1" applyFont="1">
      <alignment readingOrder="0" vertical="center"/>
    </xf>
    <xf borderId="0" fillId="0" fontId="22" numFmtId="0" xfId="0" applyAlignment="1" applyFont="1">
      <alignment readingOrder="0" vertical="center"/>
    </xf>
    <xf borderId="0" fillId="0" fontId="23" numFmtId="0" xfId="0" applyAlignment="1" applyFont="1">
      <alignment readingOrder="0" vertical="center"/>
    </xf>
    <xf borderId="0" fillId="0" fontId="24" numFmtId="0" xfId="0" applyAlignment="1" applyFont="1">
      <alignment horizontal="center" readingOrder="0" vertical="center"/>
    </xf>
    <xf borderId="0" fillId="0" fontId="2" numFmtId="0" xfId="0" applyAlignment="1" applyFont="1">
      <alignment shrinkToFit="0" wrapText="1"/>
    </xf>
    <xf borderId="0" fillId="0" fontId="5" numFmtId="0" xfId="0" applyAlignment="1" applyFont="1">
      <alignment readingOrder="0" shrinkToFit="0" wrapText="1"/>
    </xf>
    <xf borderId="0" fillId="8" fontId="25" numFmtId="0" xfId="0" applyAlignment="1" applyFill="1" applyFont="1">
      <alignment readingOrder="0" shrinkToFit="0" vertical="top" wrapText="1"/>
    </xf>
    <xf borderId="0" fillId="8" fontId="26" numFmtId="0" xfId="0" applyAlignment="1" applyFont="1">
      <alignment shrinkToFit="0" vertical="bottom" wrapText="1"/>
    </xf>
    <xf borderId="0" fillId="0" fontId="10" numFmtId="0" xfId="0" applyAlignment="1" applyFont="1">
      <alignment readingOrder="0" shrinkToFit="0" vertical="bottom" wrapText="0"/>
    </xf>
    <xf borderId="0" fillId="0" fontId="27" numFmtId="0" xfId="0" applyFont="1"/>
    <xf borderId="0" fillId="0" fontId="27" numFmtId="0" xfId="0" applyAlignment="1" applyFont="1">
      <alignment vertical="bottom"/>
    </xf>
    <xf borderId="0" fillId="8" fontId="26" numFmtId="0" xfId="0" applyAlignment="1" applyFont="1">
      <alignment readingOrder="0" shrinkToFit="0" vertical="bottom" wrapText="1"/>
    </xf>
    <xf borderId="0" fillId="0" fontId="10" numFmtId="0" xfId="0" applyAlignment="1" applyFont="1">
      <alignment readingOrder="0" shrinkToFit="0" vertical="center" wrapText="0"/>
    </xf>
    <xf borderId="0" fillId="0" fontId="10" numFmtId="0" xfId="0" applyAlignment="1" applyFont="1">
      <alignment readingOrder="0" shrinkToFit="0" vertical="bottom" wrapText="1"/>
    </xf>
    <xf borderId="0" fillId="0" fontId="28" numFmtId="0" xfId="0" applyAlignment="1" applyFont="1">
      <alignment readingOrder="0"/>
    </xf>
    <xf borderId="0" fillId="0" fontId="29" numFmtId="164" xfId="0" applyFont="1" applyNumberFormat="1"/>
    <xf borderId="0" fillId="0" fontId="29" numFmtId="0" xfId="0" applyFont="1"/>
    <xf borderId="0" fillId="0" fontId="29" numFmtId="0" xfId="0" applyFont="1"/>
    <xf borderId="0" fillId="0" fontId="30" numFmtId="0" xfId="0" applyAlignment="1" applyFont="1">
      <alignment shrinkToFit="0" wrapText="1"/>
    </xf>
    <xf borderId="0" fillId="0" fontId="31" numFmtId="0" xfId="0" applyAlignment="1" applyFont="1">
      <alignment horizontal="right" readingOrder="0"/>
    </xf>
    <xf borderId="0" fillId="0" fontId="29" numFmtId="166" xfId="0" applyFont="1" applyNumberFormat="1"/>
    <xf borderId="0" fillId="0" fontId="31" numFmtId="0" xfId="0" applyAlignment="1" applyFont="1">
      <alignment horizontal="right" readingOrder="0" shrinkToFit="0" wrapText="1"/>
    </xf>
    <xf borderId="0" fillId="0" fontId="28" numFmtId="0" xfId="0" applyAlignment="1" applyFont="1">
      <alignment readingOrder="0" shrinkToFit="0" wrapText="1"/>
    </xf>
    <xf borderId="0" fillId="0" fontId="28" numFmtId="0" xfId="0" applyFont="1"/>
    <xf borderId="0" fillId="0" fontId="32" numFmtId="0" xfId="0" applyAlignment="1" applyFont="1">
      <alignment horizontal="right" readingOrder="0"/>
    </xf>
    <xf borderId="0" fillId="0" fontId="32" numFmtId="0" xfId="0" applyAlignment="1" applyFont="1">
      <alignment horizontal="right" readingOrder="0" shrinkToFit="0" wrapText="1"/>
    </xf>
    <xf borderId="0" fillId="0" fontId="29" numFmtId="0" xfId="0" applyAlignment="1" applyFont="1">
      <alignment readingOrder="0" shrinkToFit="0" wrapText="1"/>
    </xf>
    <xf borderId="0" fillId="0" fontId="4" numFmtId="0" xfId="0" applyAlignment="1" applyFont="1">
      <alignment readingOrder="0"/>
    </xf>
    <xf borderId="0" fillId="0" fontId="33" numFmtId="164" xfId="0" applyAlignment="1" applyFont="1" applyNumberFormat="1">
      <alignment shrinkToFit="0" wrapText="1"/>
    </xf>
    <xf borderId="0" fillId="0" fontId="4" numFmtId="0" xfId="0" applyAlignment="1" applyFont="1">
      <alignment readingOrder="0"/>
    </xf>
    <xf borderId="0" fillId="0" fontId="33" numFmtId="0" xfId="0" applyAlignment="1" applyFont="1">
      <alignment shrinkToFit="0" wrapText="1"/>
    </xf>
    <xf borderId="0" fillId="0" fontId="33" numFmtId="0" xfId="0" applyFont="1"/>
    <xf borderId="0" fillId="0" fontId="4" numFmtId="0" xfId="0" applyAlignment="1" applyFont="1">
      <alignment horizontal="right" readingOrder="0"/>
    </xf>
    <xf borderId="0" fillId="0" fontId="1" numFmtId="0" xfId="0" applyAlignment="1" applyFont="1">
      <alignment vertical="bottom"/>
    </xf>
    <xf borderId="0" fillId="0" fontId="27" numFmtId="0" xfId="0" applyAlignment="1" applyFont="1">
      <alignment vertical="bottom"/>
    </xf>
    <xf borderId="0" fillId="9" fontId="27" numFmtId="0" xfId="0" applyAlignment="1" applyFill="1" applyFont="1">
      <alignment vertical="bottom"/>
    </xf>
    <xf borderId="0" fillId="10" fontId="27" numFmtId="0" xfId="0" applyAlignment="1" applyFill="1" applyFont="1">
      <alignment vertical="bottom"/>
    </xf>
    <xf borderId="0" fillId="0" fontId="34" numFmtId="0" xfId="0" applyAlignment="1" applyFont="1">
      <alignment readingOrder="0"/>
    </xf>
    <xf borderId="0" fillId="0" fontId="1" numFmtId="0" xfId="0" applyAlignment="1" applyFont="1">
      <alignment horizontal="left" readingOrder="0"/>
    </xf>
    <xf borderId="0" fillId="10" fontId="29" numFmtId="0" xfId="0" applyAlignment="1" applyFont="1">
      <alignment readingOrder="0"/>
    </xf>
    <xf borderId="0" fillId="0" fontId="33" numFmtId="0" xfId="0" applyAlignment="1" applyFont="1">
      <alignment readingOrder="0" shrinkToFit="0" wrapText="1"/>
    </xf>
    <xf borderId="0" fillId="0" fontId="35" numFmtId="0" xfId="0" applyAlignment="1" applyFont="1">
      <alignment readingOrder="0" vertical="bottom"/>
    </xf>
    <xf borderId="0" fillId="0" fontId="27" numFmtId="0" xfId="0" applyAlignment="1" applyFont="1">
      <alignment vertical="bottom"/>
    </xf>
    <xf borderId="0" fillId="9" fontId="4" numFmtId="0" xfId="0" applyAlignment="1" applyFont="1">
      <alignment readingOrder="0"/>
    </xf>
    <xf borderId="0" fillId="10" fontId="4" numFmtId="0" xfId="0" applyAlignment="1" applyFont="1">
      <alignment readingOrder="0"/>
    </xf>
    <xf borderId="0" fillId="9" fontId="36" numFmtId="0" xfId="0" applyAlignment="1" applyFont="1">
      <alignment readingOrder="0" shrinkToFit="0" vertical="center" wrapText="1"/>
    </xf>
    <xf borderId="0" fillId="0" fontId="37" numFmtId="0" xfId="0" applyAlignment="1" applyFont="1">
      <alignment readingOrder="0"/>
    </xf>
    <xf borderId="0" fillId="11" fontId="4" numFmtId="0" xfId="0" applyAlignment="1" applyFill="1" applyFont="1">
      <alignment readingOrder="0"/>
    </xf>
    <xf borderId="0" fillId="11" fontId="4" numFmtId="0" xfId="0" applyAlignment="1" applyFont="1">
      <alignment shrinkToFit="0" wrapText="1"/>
    </xf>
    <xf borderId="0" fillId="3" fontId="4" numFmtId="0" xfId="0" applyAlignment="1" applyFont="1">
      <alignment readingOrder="0"/>
    </xf>
    <xf borderId="0" fillId="3" fontId="4" numFmtId="0" xfId="0" applyFont="1"/>
    <xf borderId="0" fillId="0" fontId="4" numFmtId="0" xfId="0" applyAlignment="1" applyFont="1">
      <alignment vertical="center"/>
    </xf>
    <xf borderId="0" fillId="12" fontId="2" numFmtId="0" xfId="0" applyAlignment="1" applyFill="1" applyFont="1">
      <alignment readingOrder="0" shrinkToFit="0" vertical="center" wrapText="1"/>
    </xf>
    <xf borderId="0" fillId="0" fontId="4" numFmtId="0" xfId="0" applyAlignment="1" applyFont="1">
      <alignment readingOrder="0" shrinkToFit="0" wrapText="1"/>
    </xf>
    <xf borderId="0" fillId="11" fontId="4" numFmtId="0" xfId="0" applyFont="1"/>
    <xf borderId="0" fillId="3" fontId="4" numFmtId="0" xfId="0" applyAlignment="1" applyFont="1">
      <alignment shrinkToFit="0" wrapText="1"/>
    </xf>
    <xf borderId="0" fillId="0" fontId="2" numFmtId="0" xfId="0" applyAlignment="1" applyFont="1">
      <alignment horizontal="right" shrinkToFit="0" wrapText="1"/>
    </xf>
    <xf borderId="0" fillId="0" fontId="2" numFmtId="0" xfId="0" applyAlignment="1" applyFont="1">
      <alignment horizontal="right" readingOrder="0" shrinkToFit="0" wrapText="1"/>
    </xf>
    <xf borderId="0" fillId="0" fontId="3" numFmtId="0" xfId="0" applyAlignment="1" applyFont="1">
      <alignment horizontal="center" readingOrder="0"/>
    </xf>
    <xf borderId="0" fillId="0" fontId="2" numFmtId="0" xfId="0" applyAlignment="1" applyFont="1">
      <alignment readingOrder="0" shrinkToFit="0" wrapText="1"/>
    </xf>
    <xf borderId="0" fillId="2" fontId="2" numFmtId="0" xfId="0" applyAlignment="1" applyFont="1">
      <alignment horizontal="right" readingOrder="0" shrinkToFit="0" wrapText="1"/>
    </xf>
    <xf borderId="0" fillId="2" fontId="2" numFmtId="165" xfId="0" applyFont="1" applyNumberFormat="1"/>
    <xf borderId="0" fillId="2" fontId="2" numFmtId="0" xfId="0" applyAlignment="1" applyFont="1">
      <alignment readingOrder="0"/>
    </xf>
    <xf borderId="0" fillId="2" fontId="3" numFmtId="0" xfId="0" applyAlignment="1" applyFont="1">
      <alignment readingOrder="0"/>
    </xf>
    <xf borderId="0" fillId="2" fontId="2" numFmtId="0" xfId="0" applyFont="1"/>
    <xf borderId="0" fillId="0" fontId="2" numFmtId="166" xfId="0" applyAlignment="1" applyFont="1" applyNumberFormat="1">
      <alignment readingOrder="0"/>
    </xf>
    <xf borderId="0" fillId="0" fontId="38" numFmtId="0" xfId="0" applyAlignment="1" applyFont="1">
      <alignment readingOrder="0"/>
    </xf>
    <xf borderId="0" fillId="13" fontId="39" numFmtId="0" xfId="0" applyAlignment="1" applyFill="1" applyFont="1">
      <alignment readingOrder="0"/>
    </xf>
    <xf borderId="0" fillId="0" fontId="40" numFmtId="168" xfId="0" applyAlignment="1" applyFont="1" applyNumberFormat="1">
      <alignment readingOrder="0" shrinkToFit="0" wrapText="1"/>
    </xf>
    <xf borderId="0" fillId="0" fontId="40" numFmtId="0" xfId="0" applyAlignment="1" applyFont="1">
      <alignment readingOrder="0" shrinkToFit="0" wrapText="1"/>
    </xf>
    <xf borderId="0" fillId="12" fontId="4" numFmtId="0" xfId="0" applyAlignment="1" applyFont="1">
      <alignment readingOrder="0"/>
    </xf>
    <xf borderId="0" fillId="0" fontId="41" numFmtId="0" xfId="0" applyFont="1"/>
    <xf borderId="0" fillId="0" fontId="42" numFmtId="0" xfId="0" applyAlignment="1" applyFont="1">
      <alignment readingOrder="0" shrinkToFit="0" wrapText="1"/>
    </xf>
    <xf borderId="0" fillId="0" fontId="4" numFmtId="0" xfId="0" applyAlignment="1" applyFont="1">
      <alignment readingOrder="0" shrinkToFit="0" wrapText="1"/>
    </xf>
    <xf borderId="0" fillId="12" fontId="33" numFmtId="0" xfId="0" applyAlignment="1" applyFont="1">
      <alignment readingOrder="0"/>
    </xf>
    <xf borderId="0" fillId="0" fontId="33" numFmtId="0" xfId="0" applyAlignment="1" applyFont="1">
      <alignment readingOrder="0"/>
    </xf>
    <xf borderId="0" fillId="0" fontId="4" numFmtId="164" xfId="0" applyAlignment="1" applyFont="1" applyNumberFormat="1">
      <alignment shrinkToFit="0" wrapText="1"/>
    </xf>
    <xf borderId="0" fillId="0" fontId="33" numFmtId="0" xfId="0" applyAlignment="1" applyFont="1">
      <alignment readingOrder="0" shrinkToFit="0" wrapText="1"/>
    </xf>
    <xf borderId="0" fillId="0" fontId="43" numFmtId="0" xfId="0" applyAlignment="1" applyFont="1">
      <alignment readingOrder="0" shrinkToFit="0" wrapText="1"/>
    </xf>
    <xf borderId="0" fillId="0" fontId="44" numFmtId="0" xfId="0" applyAlignment="1" applyFont="1">
      <alignment shrinkToFit="0" wrapText="1"/>
    </xf>
    <xf borderId="0" fillId="0" fontId="40" numFmtId="0" xfId="0" applyAlignment="1" applyFont="1">
      <alignment readingOrder="0"/>
    </xf>
    <xf borderId="0" fillId="0" fontId="40" numFmtId="0" xfId="0" applyAlignment="1" applyFont="1">
      <alignment readingOrder="0"/>
    </xf>
    <xf borderId="0" fillId="0" fontId="40" numFmtId="0" xfId="0" applyAlignment="1" applyFont="1">
      <alignment readingOrder="0"/>
    </xf>
    <xf borderId="0" fillId="0" fontId="40" numFmtId="0" xfId="0" applyFont="1"/>
    <xf borderId="0" fillId="2" fontId="42" numFmtId="0" xfId="0" applyAlignment="1" applyFont="1">
      <alignment horizontal="right" readingOrder="0"/>
    </xf>
    <xf borderId="0" fillId="2" fontId="33" numFmtId="0" xfId="0" applyFont="1"/>
    <xf borderId="0" fillId="0" fontId="4" numFmtId="0" xfId="0" applyAlignment="1" applyFont="1">
      <alignment readingOrder="0" shrinkToFit="0" vertical="center" wrapText="1"/>
    </xf>
    <xf borderId="0" fillId="14" fontId="33" numFmtId="0" xfId="0" applyAlignment="1" applyFill="1" applyFont="1">
      <alignment readingOrder="0"/>
    </xf>
    <xf borderId="0" fillId="8" fontId="45" numFmtId="0" xfId="0" applyAlignment="1" applyFont="1">
      <alignment readingOrder="0"/>
    </xf>
    <xf borderId="0" fillId="14" fontId="4" numFmtId="0" xfId="0" applyFont="1"/>
    <xf borderId="0" fillId="2" fontId="46" numFmtId="0" xfId="0" applyFont="1"/>
    <xf borderId="0" fillId="12" fontId="47" numFmtId="0" xfId="0" applyAlignment="1" applyFont="1">
      <alignment vertical="bottom"/>
    </xf>
    <xf borderId="0" fillId="6" fontId="48" numFmtId="0" xfId="0" applyAlignment="1" applyFont="1">
      <alignment vertical="bottom"/>
    </xf>
    <xf borderId="0" fillId="12" fontId="40" numFmtId="0" xfId="0" applyAlignment="1" applyFont="1">
      <alignment readingOrder="0"/>
    </xf>
    <xf borderId="0" fillId="6" fontId="40" numFmtId="0" xfId="0" applyAlignment="1" applyFont="1">
      <alignment readingOrder="0"/>
    </xf>
    <xf borderId="0" fillId="15" fontId="4" numFmtId="0" xfId="0" applyFill="1" applyFont="1"/>
    <xf borderId="0" fillId="7" fontId="49" numFmtId="0" xfId="0" applyAlignment="1" applyFont="1">
      <alignment readingOrder="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7C3"/>
          <bgColor rgb="FFF4C7C3"/>
        </patternFill>
      </fill>
      <border/>
    </dxf>
  </dxfs>
  <tableStyles count="2">
    <tableStyle count="3" pivot="0" name="Packing List-style">
      <tableStyleElement dxfId="1" type="headerRow"/>
      <tableStyleElement dxfId="2" type="firstRowStripe"/>
      <tableStyleElement dxfId="3" type="secondRowStripe"/>
    </tableStyle>
    <tableStyle count="3" pivot="0" name="To Do 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4.jpg"/><Relationship Id="rId3"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38100</xdr:colOff>
      <xdr:row>22</xdr:row>
      <xdr:rowOff>171450</xdr:rowOff>
    </xdr:from>
    <xdr:ext cx="428625" cy="409575"/>
    <xdr:sp>
      <xdr:nvSpPr>
        <xdr:cNvPr id="3" name="Shape 3"/>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152400</xdr:colOff>
      <xdr:row>42</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15</xdr:col>
      <xdr:colOff>838200</xdr:colOff>
      <xdr:row>35</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5" name="Shape 5"/>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76200</xdr:colOff>
      <xdr:row>33</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7" name="Shape 7"/>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35</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9" name="Shape 9"/>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38</xdr:row>
      <xdr:rowOff>161925</xdr:rowOff>
    </xdr:from>
    <xdr:ext cx="819150" cy="657225"/>
    <xdr:sp>
      <xdr:nvSpPr>
        <xdr:cNvPr id="11" name="Shape 11"/>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0</xdr:col>
      <xdr:colOff>152400</xdr:colOff>
      <xdr:row>5</xdr:row>
      <xdr:rowOff>152400</xdr:rowOff>
    </xdr:from>
    <xdr:ext cx="8943975" cy="4752975"/>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31</xdr:row>
      <xdr:rowOff>152400</xdr:rowOff>
    </xdr:from>
    <xdr:ext cx="8991600" cy="465772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57</xdr:row>
      <xdr:rowOff>152400</xdr:rowOff>
    </xdr:from>
    <xdr:ext cx="8810625" cy="4791075"/>
    <xdr:pic>
      <xdr:nvPicPr>
        <xdr:cNvPr id="0" name="image3.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40</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561975</xdr:colOff>
      <xdr:row>27</xdr:row>
      <xdr:rowOff>142875</xdr:rowOff>
    </xdr:from>
    <xdr:ext cx="590550" cy="838200"/>
    <xdr:sp>
      <xdr:nvSpPr>
        <xdr:cNvPr id="12" name="Shape 12"/>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0</xdr:col>
      <xdr:colOff>123825</xdr:colOff>
      <xdr:row>7</xdr:row>
      <xdr:rowOff>38100</xdr:rowOff>
    </xdr:from>
    <xdr:ext cx="5534025" cy="47910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381000</xdr:colOff>
      <xdr:row>33</xdr:row>
      <xdr:rowOff>161925</xdr:rowOff>
    </xdr:from>
    <xdr:ext cx="5534025" cy="47910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F19" displayName="Table_1" name="Table_1" id="1">
  <tableColumns count="6">
    <tableColumn name="Column1" id="1"/>
    <tableColumn name="Column2" id="2"/>
    <tableColumn name="Column3" id="3"/>
    <tableColumn name="Column4" id="4"/>
    <tableColumn name="Column5" id="5"/>
    <tableColumn name="Column6" id="6"/>
  </tableColumns>
  <tableStyleInfo name="Packing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E48" displayName="Table_2" name="Table_2" id="2">
  <tableColumns count="5">
    <tableColumn name="Column1" id="1"/>
    <tableColumn name="Column2" id="2"/>
    <tableColumn name="Column3" id="3"/>
    <tableColumn name="Column4" id="4"/>
    <tableColumn name="Column5" id="5"/>
  </tableColumns>
  <tableStyleInfo name="To Do List-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5WTDENXR9_EMaJ5EO19ByLVBjWzh5l2h3sGM0tWfAwM/edit?usp=sharing" TargetMode="External"/><Relationship Id="rId2" Type="http://schemas.openxmlformats.org/officeDocument/2006/relationships/hyperlink" Target="https://docs.google.com/document/d/1OCuY8qtuhCDSbEV4nMPWstE1cmQCREEyAbZBhdr5vpo/edit?usp=sharing" TargetMode="External"/><Relationship Id="rId3" Type="http://schemas.openxmlformats.org/officeDocument/2006/relationships/hyperlink" Target="https://drive.google.com/file/d/1aYw_W_FF9EEK4LxPzgXvBZ0lR0YQkDkl/view?usp=sharing" TargetMode="External"/><Relationship Id="rId4" Type="http://schemas.openxmlformats.org/officeDocument/2006/relationships/hyperlink" Target="https://drive.google.com/file/d/1hEU-eBvAaWUpL-e1ScG-Z-qPVuwE9Mkx/view?usp=sharing" TargetMode="External"/><Relationship Id="rId5" Type="http://schemas.openxmlformats.org/officeDocument/2006/relationships/hyperlink" Target="https://drive.google.com/file/d/1g5h6BKILsQtdC8Rrg-82ItGpANtPOErj/view?usp=sharing" TargetMode="External"/><Relationship Id="rId6" Type="http://schemas.openxmlformats.org/officeDocument/2006/relationships/hyperlink" Target="https://docs.google.com/document/d/12SDKNh2QSL7wXYpaYkXDF1FuStV-31Up/edit?usp=sharing&amp;ouid=101653837859843102748&amp;rtpof=true&amp;sd=true"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1" max="1" width="30.63"/>
    <col customWidth="1" min="2" max="2" width="40.75"/>
    <col customWidth="1" min="3" max="3" width="58.88"/>
    <col customWidth="1" min="4" max="5" width="20.5"/>
    <col customWidth="1" min="6" max="6" width="23.75"/>
    <col customWidth="1" min="7" max="7" width="19.63"/>
    <col customWidth="1" min="8" max="9" width="26.13"/>
    <col customWidth="1" min="10" max="10" width="17.75"/>
  </cols>
  <sheetData>
    <row r="1">
      <c r="A1" s="1" t="s">
        <v>0</v>
      </c>
      <c r="I1" s="2"/>
      <c r="J1" s="2"/>
      <c r="K1" s="2"/>
      <c r="L1" s="2"/>
      <c r="M1" s="2"/>
      <c r="N1" s="2"/>
      <c r="O1" s="2"/>
      <c r="P1" s="2"/>
      <c r="Q1" s="2"/>
      <c r="R1" s="2"/>
      <c r="S1" s="2"/>
      <c r="T1" s="2"/>
      <c r="U1" s="2"/>
      <c r="V1" s="2"/>
      <c r="W1" s="2"/>
      <c r="X1" s="2"/>
      <c r="Y1" s="2"/>
      <c r="Z1" s="2"/>
      <c r="AA1" s="2"/>
      <c r="AB1" s="2"/>
      <c r="AC1" s="2"/>
      <c r="AD1" s="2"/>
      <c r="AE1" s="2"/>
      <c r="AF1" s="2"/>
      <c r="AG1" s="2"/>
      <c r="AH1" s="2"/>
    </row>
    <row r="2" ht="29.25" customHeight="1">
      <c r="I2" s="2"/>
      <c r="J2" s="2"/>
      <c r="K2" s="2"/>
      <c r="L2" s="2"/>
      <c r="M2" s="2"/>
      <c r="N2" s="2"/>
      <c r="O2" s="2"/>
      <c r="P2" s="2"/>
      <c r="Q2" s="2"/>
      <c r="R2" s="2"/>
      <c r="S2" s="2"/>
      <c r="T2" s="2"/>
      <c r="U2" s="2"/>
      <c r="V2" s="2"/>
      <c r="W2" s="2"/>
      <c r="X2" s="2"/>
      <c r="Y2" s="2"/>
      <c r="Z2" s="2"/>
      <c r="AA2" s="2"/>
      <c r="AB2" s="2"/>
      <c r="AC2" s="2"/>
      <c r="AD2" s="2"/>
      <c r="AE2" s="2"/>
      <c r="AF2" s="2"/>
      <c r="AG2" s="2"/>
      <c r="AH2" s="2"/>
    </row>
    <row r="3">
      <c r="I3" s="2"/>
      <c r="J3" s="2"/>
      <c r="K3" s="2"/>
      <c r="L3" s="2"/>
      <c r="M3" s="2"/>
      <c r="N3" s="2"/>
      <c r="O3" s="2"/>
      <c r="P3" s="2"/>
      <c r="Q3" s="2"/>
      <c r="R3" s="2"/>
      <c r="S3" s="2"/>
      <c r="T3" s="2"/>
      <c r="U3" s="2"/>
      <c r="V3" s="2"/>
      <c r="W3" s="2"/>
      <c r="X3" s="2"/>
      <c r="Y3" s="2"/>
      <c r="Z3" s="2"/>
      <c r="AA3" s="2"/>
      <c r="AB3" s="2"/>
      <c r="AC3" s="2"/>
      <c r="AD3" s="2"/>
      <c r="AE3" s="2"/>
      <c r="AF3" s="2"/>
      <c r="AG3" s="2"/>
      <c r="AH3" s="2"/>
    </row>
    <row r="4" ht="27.0" customHeight="1">
      <c r="A4" s="3" t="s">
        <v>1</v>
      </c>
      <c r="B4" s="4"/>
      <c r="C4" s="5" t="s">
        <v>2</v>
      </c>
      <c r="D4" s="6"/>
      <c r="E4" s="5" t="s">
        <v>3</v>
      </c>
      <c r="F4" s="6"/>
      <c r="G4" s="5"/>
      <c r="I4" s="2"/>
      <c r="J4" s="2"/>
      <c r="K4" s="2"/>
      <c r="L4" s="2"/>
      <c r="M4" s="2"/>
      <c r="N4" s="2"/>
      <c r="O4" s="2"/>
      <c r="P4" s="2"/>
      <c r="Q4" s="2"/>
      <c r="R4" s="2"/>
      <c r="S4" s="2"/>
      <c r="T4" s="2"/>
      <c r="U4" s="2"/>
      <c r="V4" s="2"/>
      <c r="W4" s="2"/>
      <c r="X4" s="2"/>
      <c r="Y4" s="2"/>
      <c r="Z4" s="2"/>
      <c r="AA4" s="2"/>
      <c r="AB4" s="2"/>
      <c r="AC4" s="2"/>
      <c r="AD4" s="2"/>
      <c r="AE4" s="2"/>
      <c r="AF4" s="2"/>
      <c r="AG4" s="2"/>
      <c r="AH4" s="2"/>
    </row>
    <row r="5">
      <c r="A5" s="3" t="s">
        <v>4</v>
      </c>
      <c r="B5" s="7" t="s">
        <v>5</v>
      </c>
      <c r="C5" s="5" t="s">
        <v>6</v>
      </c>
      <c r="D5" s="8" t="s">
        <v>7</v>
      </c>
      <c r="E5" s="9" t="s">
        <v>8</v>
      </c>
      <c r="F5" s="10"/>
      <c r="G5" s="11"/>
      <c r="H5" s="12"/>
      <c r="I5" s="2"/>
      <c r="J5" s="2"/>
      <c r="K5" s="2"/>
      <c r="L5" s="2"/>
      <c r="M5" s="2"/>
      <c r="N5" s="2"/>
      <c r="O5" s="2"/>
      <c r="P5" s="2"/>
      <c r="Q5" s="2"/>
      <c r="R5" s="2"/>
      <c r="S5" s="2"/>
      <c r="T5" s="2"/>
      <c r="U5" s="2"/>
      <c r="V5" s="2"/>
      <c r="W5" s="2"/>
      <c r="X5" s="2"/>
      <c r="Y5" s="2"/>
      <c r="Z5" s="2"/>
      <c r="AA5" s="2"/>
      <c r="AB5" s="2"/>
      <c r="AC5" s="2"/>
      <c r="AD5" s="2"/>
      <c r="AE5" s="2"/>
      <c r="AF5" s="2"/>
      <c r="AG5" s="2"/>
      <c r="AH5" s="2"/>
    </row>
    <row r="6">
      <c r="A6" s="2"/>
      <c r="I6" s="2"/>
      <c r="J6" s="2"/>
      <c r="K6" s="2"/>
      <c r="L6" s="2"/>
      <c r="M6" s="2"/>
      <c r="N6" s="2"/>
      <c r="O6" s="2"/>
      <c r="P6" s="2"/>
      <c r="Q6" s="2"/>
      <c r="R6" s="2"/>
      <c r="S6" s="2"/>
      <c r="T6" s="2"/>
      <c r="U6" s="2"/>
      <c r="V6" s="2"/>
      <c r="W6" s="2"/>
      <c r="X6" s="2"/>
      <c r="Y6" s="2"/>
      <c r="Z6" s="2"/>
      <c r="AA6" s="2"/>
      <c r="AB6" s="2"/>
      <c r="AC6" s="2"/>
      <c r="AD6" s="2"/>
      <c r="AE6" s="2"/>
      <c r="AF6" s="2"/>
      <c r="AG6" s="2"/>
      <c r="AH6" s="2"/>
    </row>
    <row r="7">
      <c r="A7" s="13" t="s">
        <v>9</v>
      </c>
      <c r="I7" s="2"/>
      <c r="J7" s="2"/>
      <c r="K7" s="2"/>
      <c r="L7" s="2"/>
      <c r="M7" s="2"/>
      <c r="N7" s="2"/>
      <c r="O7" s="2"/>
      <c r="P7" s="2"/>
      <c r="Q7" s="2"/>
      <c r="R7" s="2"/>
      <c r="S7" s="2"/>
      <c r="T7" s="2"/>
      <c r="U7" s="2"/>
      <c r="V7" s="2"/>
      <c r="W7" s="2"/>
      <c r="X7" s="2"/>
      <c r="Y7" s="2"/>
      <c r="Z7" s="2"/>
      <c r="AA7" s="2"/>
      <c r="AB7" s="2"/>
      <c r="AC7" s="2"/>
      <c r="AD7" s="2"/>
      <c r="AE7" s="2"/>
      <c r="AF7" s="2"/>
      <c r="AG7" s="2"/>
      <c r="AH7" s="2"/>
    </row>
    <row r="8">
      <c r="A8" s="14" t="s">
        <v>10</v>
      </c>
      <c r="I8" s="2"/>
      <c r="J8" s="2"/>
      <c r="K8" s="2"/>
      <c r="L8" s="2"/>
      <c r="M8" s="2"/>
      <c r="N8" s="2"/>
      <c r="O8" s="2"/>
      <c r="P8" s="2"/>
      <c r="Q8" s="2"/>
      <c r="R8" s="2"/>
      <c r="S8" s="2"/>
      <c r="T8" s="2"/>
      <c r="U8" s="2"/>
      <c r="V8" s="2"/>
      <c r="W8" s="2"/>
      <c r="X8" s="2"/>
      <c r="Y8" s="2"/>
      <c r="Z8" s="2"/>
      <c r="AA8" s="2"/>
      <c r="AB8" s="2"/>
      <c r="AC8" s="2"/>
      <c r="AD8" s="2"/>
      <c r="AE8" s="2"/>
      <c r="AF8" s="2"/>
      <c r="AG8" s="2"/>
      <c r="AH8" s="2"/>
    </row>
    <row r="9">
      <c r="I9" s="2"/>
      <c r="J9" s="2"/>
      <c r="K9" s="2"/>
      <c r="L9" s="2"/>
      <c r="M9" s="2"/>
      <c r="N9" s="2"/>
      <c r="O9" s="2"/>
      <c r="P9" s="2"/>
      <c r="Q9" s="2"/>
      <c r="R9" s="2"/>
      <c r="S9" s="2"/>
      <c r="T9" s="2"/>
      <c r="U9" s="2"/>
      <c r="V9" s="2"/>
      <c r="W9" s="2"/>
      <c r="X9" s="2"/>
      <c r="Y9" s="2"/>
      <c r="Z9" s="2"/>
      <c r="AA9" s="2"/>
      <c r="AB9" s="2"/>
      <c r="AC9" s="2"/>
      <c r="AD9" s="2"/>
      <c r="AE9" s="2"/>
      <c r="AF9" s="2"/>
      <c r="AG9" s="2"/>
      <c r="AH9" s="2"/>
    </row>
    <row r="10" ht="60.75" customHeight="1">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c r="A11" s="15" t="s">
        <v>11</v>
      </c>
      <c r="B11" s="15"/>
      <c r="C11" s="4"/>
      <c r="D11" s="16"/>
      <c r="E11" s="17"/>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c r="A12" s="18" t="s">
        <v>12</v>
      </c>
      <c r="B12" s="2"/>
      <c r="C12" s="16"/>
      <c r="D12" s="19"/>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c r="A13" s="20"/>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ht="33.75" customHeight="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row>
    <row r="15" ht="16.5" customHeight="1">
      <c r="A15" s="22" t="s">
        <v>13</v>
      </c>
      <c r="B15" s="23" t="s">
        <v>14</v>
      </c>
      <c r="C15" s="24" t="s">
        <v>15</v>
      </c>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row>
    <row r="16">
      <c r="B16" s="26" t="s">
        <v>16</v>
      </c>
      <c r="C16" s="27"/>
      <c r="D16" s="27"/>
      <c r="E16" s="9"/>
      <c r="F16" s="9"/>
      <c r="G16" s="9"/>
      <c r="H16" s="9"/>
      <c r="I16" s="9"/>
      <c r="O16" s="2"/>
      <c r="P16" s="2"/>
      <c r="Q16" s="2"/>
      <c r="R16" s="2"/>
      <c r="S16" s="2"/>
      <c r="T16" s="2"/>
      <c r="U16" s="2"/>
      <c r="V16" s="2"/>
      <c r="W16" s="2"/>
      <c r="X16" s="2"/>
      <c r="Y16" s="2"/>
      <c r="Z16" s="2"/>
      <c r="AA16" s="2"/>
      <c r="AB16" s="2"/>
      <c r="AC16" s="2"/>
      <c r="AD16" s="2"/>
      <c r="AE16" s="2"/>
      <c r="AF16" s="2"/>
      <c r="AG16" s="2"/>
      <c r="AH16" s="2"/>
    </row>
    <row r="17">
      <c r="B17" s="28" t="s">
        <v>17</v>
      </c>
      <c r="C17" s="29"/>
      <c r="D17" s="30"/>
      <c r="E17" s="9"/>
      <c r="F17" s="9"/>
      <c r="G17" s="9"/>
      <c r="H17" s="9"/>
      <c r="I17" s="9"/>
      <c r="J17" s="16"/>
      <c r="K17" s="16"/>
      <c r="L17" s="16"/>
      <c r="M17" s="16"/>
      <c r="N17" s="2"/>
      <c r="O17" s="2"/>
      <c r="P17" s="2"/>
      <c r="Q17" s="2"/>
      <c r="R17" s="2"/>
      <c r="S17" s="2"/>
      <c r="T17" s="2"/>
      <c r="U17" s="2"/>
      <c r="V17" s="2"/>
      <c r="W17" s="2"/>
      <c r="X17" s="2"/>
      <c r="Y17" s="2"/>
      <c r="Z17" s="2"/>
      <c r="AA17" s="2"/>
      <c r="AB17" s="2"/>
      <c r="AC17" s="2"/>
      <c r="AD17" s="2"/>
      <c r="AE17" s="2"/>
      <c r="AF17" s="2"/>
      <c r="AG17" s="2"/>
      <c r="AH17" s="2"/>
    </row>
    <row r="18">
      <c r="B18" s="28" t="s">
        <v>18</v>
      </c>
      <c r="C18" s="29"/>
      <c r="D18" s="30"/>
      <c r="E18" s="9"/>
      <c r="F18" s="9"/>
      <c r="G18" s="9"/>
      <c r="H18" s="9"/>
      <c r="I18" s="9"/>
      <c r="J18" s="16"/>
      <c r="K18" s="16"/>
      <c r="L18" s="16"/>
      <c r="M18" s="16"/>
      <c r="N18" s="2"/>
      <c r="O18" s="2"/>
      <c r="P18" s="2"/>
      <c r="Q18" s="2"/>
      <c r="R18" s="2"/>
      <c r="S18" s="2"/>
      <c r="T18" s="2"/>
      <c r="U18" s="2"/>
      <c r="V18" s="2"/>
      <c r="W18" s="2"/>
      <c r="X18" s="2"/>
      <c r="Y18" s="2"/>
      <c r="Z18" s="2"/>
      <c r="AA18" s="2"/>
      <c r="AB18" s="2"/>
      <c r="AC18" s="2"/>
      <c r="AD18" s="2"/>
      <c r="AE18" s="2"/>
      <c r="AF18" s="2"/>
      <c r="AG18" s="2"/>
      <c r="AH18" s="2"/>
    </row>
    <row r="19">
      <c r="B19" s="28" t="s">
        <v>19</v>
      </c>
      <c r="C19" s="29"/>
      <c r="D19" s="30"/>
      <c r="E19" s="9"/>
      <c r="F19" s="9"/>
      <c r="G19" s="9"/>
      <c r="H19" s="9"/>
      <c r="I19" s="9"/>
      <c r="J19" s="16"/>
      <c r="K19" s="16"/>
      <c r="L19" s="16"/>
      <c r="M19" s="16"/>
      <c r="N19" s="2"/>
      <c r="O19" s="2"/>
      <c r="P19" s="2"/>
      <c r="Q19" s="2"/>
      <c r="R19" s="2"/>
      <c r="S19" s="2"/>
      <c r="T19" s="2"/>
      <c r="U19" s="2"/>
      <c r="V19" s="2"/>
      <c r="W19" s="2"/>
      <c r="X19" s="2"/>
      <c r="Y19" s="2"/>
      <c r="Z19" s="2"/>
      <c r="AA19" s="2"/>
      <c r="AB19" s="2"/>
      <c r="AC19" s="2"/>
      <c r="AD19" s="2"/>
      <c r="AE19" s="2"/>
      <c r="AF19" s="2"/>
      <c r="AG19" s="2"/>
      <c r="AH19" s="2"/>
    </row>
    <row r="20">
      <c r="B20" s="28" t="s">
        <v>20</v>
      </c>
      <c r="C20" s="29"/>
      <c r="D20" s="31"/>
      <c r="E20" s="9"/>
      <c r="F20" s="9"/>
      <c r="G20" s="9"/>
      <c r="H20" s="9"/>
      <c r="I20" s="9"/>
      <c r="J20" s="16"/>
      <c r="K20" s="16"/>
      <c r="L20" s="16"/>
      <c r="M20" s="16"/>
      <c r="N20" s="2"/>
      <c r="O20" s="2"/>
      <c r="P20" s="2"/>
      <c r="Q20" s="2"/>
      <c r="R20" s="2"/>
      <c r="S20" s="2"/>
      <c r="T20" s="2"/>
      <c r="U20" s="2"/>
      <c r="V20" s="2"/>
      <c r="W20" s="2"/>
      <c r="X20" s="2"/>
      <c r="Y20" s="2"/>
      <c r="Z20" s="2"/>
      <c r="AA20" s="2"/>
      <c r="AB20" s="2"/>
      <c r="AC20" s="2"/>
      <c r="AD20" s="2"/>
      <c r="AE20" s="2"/>
      <c r="AF20" s="2"/>
      <c r="AG20" s="2"/>
      <c r="AH20" s="2"/>
    </row>
    <row r="21">
      <c r="B21" s="28" t="s">
        <v>21</v>
      </c>
      <c r="C21" s="29"/>
      <c r="D21" s="31"/>
      <c r="E21" s="14"/>
      <c r="F21" s="14"/>
      <c r="G21" s="14"/>
      <c r="H21" s="14"/>
      <c r="I21" s="14"/>
      <c r="O21" s="2"/>
      <c r="P21" s="2"/>
      <c r="Q21" s="2"/>
      <c r="R21" s="2"/>
      <c r="S21" s="2"/>
      <c r="T21" s="2"/>
      <c r="U21" s="2"/>
      <c r="V21" s="2"/>
      <c r="W21" s="2"/>
      <c r="X21" s="2"/>
      <c r="Y21" s="2"/>
      <c r="Z21" s="2"/>
      <c r="AA21" s="2"/>
      <c r="AB21" s="2"/>
      <c r="AC21" s="2"/>
      <c r="AD21" s="2"/>
      <c r="AE21" s="2"/>
      <c r="AF21" s="2"/>
      <c r="AG21" s="2"/>
      <c r="AH21" s="2"/>
    </row>
    <row r="22">
      <c r="B22" s="28" t="s">
        <v>22</v>
      </c>
      <c r="C22" s="29"/>
      <c r="D22" s="30"/>
      <c r="E22" s="9"/>
      <c r="F22" s="9"/>
      <c r="G22" s="9"/>
      <c r="H22" s="9"/>
      <c r="I22" s="9"/>
      <c r="O22" s="2"/>
      <c r="P22" s="2"/>
      <c r="Q22" s="2"/>
      <c r="R22" s="2"/>
      <c r="S22" s="2"/>
      <c r="T22" s="2"/>
      <c r="U22" s="2"/>
      <c r="V22" s="2"/>
      <c r="W22" s="2"/>
      <c r="X22" s="2"/>
      <c r="Y22" s="2"/>
      <c r="Z22" s="2"/>
      <c r="AA22" s="2"/>
      <c r="AB22" s="2"/>
      <c r="AC22" s="2"/>
      <c r="AD22" s="2"/>
      <c r="AE22" s="2"/>
      <c r="AF22" s="2"/>
      <c r="AG22" s="2"/>
      <c r="AH22" s="2"/>
    </row>
    <row r="23">
      <c r="B23" s="28" t="s">
        <v>23</v>
      </c>
      <c r="C23" s="29"/>
      <c r="D23" s="30"/>
      <c r="E23" s="9"/>
      <c r="F23" s="9"/>
      <c r="G23" s="9"/>
      <c r="H23" s="9"/>
      <c r="I23" s="9"/>
      <c r="O23" s="2"/>
      <c r="P23" s="2"/>
      <c r="Q23" s="2"/>
      <c r="R23" s="2"/>
      <c r="S23" s="2"/>
      <c r="T23" s="2"/>
      <c r="U23" s="2"/>
      <c r="V23" s="2"/>
      <c r="W23" s="2"/>
      <c r="X23" s="2"/>
      <c r="Y23" s="2"/>
      <c r="Z23" s="2"/>
      <c r="AA23" s="2"/>
      <c r="AB23" s="2"/>
      <c r="AC23" s="2"/>
      <c r="AD23" s="2"/>
      <c r="AE23" s="2"/>
      <c r="AF23" s="2"/>
      <c r="AG23" s="2"/>
      <c r="AH23" s="2"/>
    </row>
    <row r="24">
      <c r="B24" s="28" t="s">
        <v>24</v>
      </c>
      <c r="C24" s="29"/>
      <c r="D24" s="30"/>
      <c r="E24" s="9"/>
      <c r="F24" s="9"/>
      <c r="G24" s="9"/>
      <c r="H24" s="9"/>
      <c r="I24" s="9"/>
      <c r="J24" s="16"/>
      <c r="K24" s="16"/>
      <c r="L24" s="16"/>
      <c r="M24" s="16"/>
      <c r="N24" s="2"/>
      <c r="O24" s="2"/>
      <c r="P24" s="2"/>
      <c r="Q24" s="2"/>
      <c r="R24" s="2"/>
      <c r="S24" s="2"/>
      <c r="T24" s="2"/>
      <c r="U24" s="2"/>
      <c r="V24" s="2"/>
      <c r="W24" s="2"/>
      <c r="X24" s="2"/>
      <c r="Y24" s="2"/>
      <c r="Z24" s="2"/>
      <c r="AA24" s="2"/>
      <c r="AB24" s="2"/>
      <c r="AC24" s="2"/>
      <c r="AD24" s="2"/>
      <c r="AE24" s="2"/>
      <c r="AF24" s="2"/>
      <c r="AG24" s="2"/>
      <c r="AH24" s="2"/>
    </row>
    <row r="25">
      <c r="B25" s="28" t="s">
        <v>25</v>
      </c>
      <c r="C25" s="29"/>
      <c r="D25" s="30"/>
      <c r="E25" s="16"/>
      <c r="F25" s="16"/>
      <c r="G25" s="16"/>
      <c r="H25" s="16"/>
      <c r="I25" s="16"/>
      <c r="J25" s="16"/>
      <c r="K25" s="16"/>
      <c r="L25" s="16"/>
      <c r="M25" s="16"/>
      <c r="N25" s="2"/>
      <c r="O25" s="2"/>
      <c r="P25" s="2"/>
      <c r="Q25" s="2"/>
      <c r="R25" s="2"/>
      <c r="S25" s="2"/>
      <c r="T25" s="2"/>
      <c r="U25" s="2"/>
      <c r="V25" s="2"/>
      <c r="W25" s="2"/>
      <c r="X25" s="2"/>
      <c r="Y25" s="2"/>
      <c r="Z25" s="2"/>
      <c r="AA25" s="2"/>
      <c r="AB25" s="2"/>
      <c r="AC25" s="2"/>
      <c r="AD25" s="2"/>
      <c r="AE25" s="2"/>
      <c r="AF25" s="2"/>
      <c r="AG25" s="2"/>
      <c r="AH25" s="2"/>
    </row>
    <row r="26">
      <c r="B26" s="28" t="s">
        <v>26</v>
      </c>
      <c r="C26" s="29"/>
      <c r="D26" s="30"/>
      <c r="E26" s="16"/>
      <c r="F26" s="16"/>
      <c r="G26" s="16"/>
      <c r="H26" s="16"/>
      <c r="I26" s="16"/>
      <c r="J26" s="16"/>
      <c r="K26" s="16"/>
      <c r="L26" s="16"/>
      <c r="M26" s="16"/>
      <c r="N26" s="2"/>
      <c r="O26" s="2"/>
      <c r="P26" s="2"/>
      <c r="Q26" s="2"/>
      <c r="R26" s="2"/>
      <c r="S26" s="2"/>
      <c r="T26" s="2"/>
      <c r="U26" s="2"/>
      <c r="V26" s="2"/>
      <c r="W26" s="2"/>
      <c r="X26" s="2"/>
      <c r="Y26" s="2"/>
      <c r="Z26" s="2"/>
      <c r="AA26" s="2"/>
      <c r="AB26" s="2"/>
      <c r="AC26" s="2"/>
      <c r="AD26" s="2"/>
      <c r="AE26" s="2"/>
      <c r="AF26" s="2"/>
      <c r="AG26" s="2"/>
      <c r="AH26" s="2"/>
    </row>
    <row r="27">
      <c r="B27" s="28" t="s">
        <v>27</v>
      </c>
      <c r="C27" s="29"/>
      <c r="D27" s="30"/>
      <c r="E27" s="9"/>
      <c r="F27" s="9"/>
      <c r="G27" s="9"/>
      <c r="H27" s="9"/>
      <c r="I27" s="9"/>
      <c r="J27" s="9"/>
      <c r="K27" s="9"/>
      <c r="L27" s="9"/>
      <c r="M27" s="9"/>
      <c r="N27" s="9"/>
      <c r="O27" s="2"/>
      <c r="P27" s="2"/>
      <c r="Q27" s="2"/>
      <c r="R27" s="2"/>
      <c r="S27" s="2"/>
      <c r="T27" s="2"/>
      <c r="U27" s="2"/>
      <c r="V27" s="2"/>
      <c r="W27" s="2"/>
      <c r="X27" s="2"/>
      <c r="Y27" s="2"/>
      <c r="Z27" s="2"/>
      <c r="AA27" s="2"/>
      <c r="AB27" s="2"/>
      <c r="AC27" s="2"/>
      <c r="AD27" s="2"/>
      <c r="AE27" s="2"/>
      <c r="AF27" s="2"/>
      <c r="AG27" s="2"/>
      <c r="AH27" s="2"/>
    </row>
    <row r="28">
      <c r="B28" s="28" t="s">
        <v>28</v>
      </c>
      <c r="C28" s="29"/>
      <c r="D28" s="30"/>
      <c r="E28" s="9"/>
      <c r="F28" s="9"/>
      <c r="G28" s="9"/>
      <c r="H28" s="9"/>
      <c r="I28" s="9"/>
      <c r="J28" s="9"/>
      <c r="K28" s="9"/>
      <c r="L28" s="9"/>
      <c r="M28" s="9"/>
      <c r="N28" s="9"/>
      <c r="O28" s="2"/>
      <c r="P28" s="2"/>
      <c r="Q28" s="2"/>
      <c r="R28" s="2"/>
      <c r="S28" s="2"/>
      <c r="T28" s="2"/>
      <c r="U28" s="2"/>
      <c r="V28" s="2"/>
      <c r="W28" s="2"/>
      <c r="X28" s="2"/>
      <c r="Y28" s="2"/>
      <c r="Z28" s="2"/>
      <c r="AA28" s="2"/>
      <c r="AB28" s="2"/>
      <c r="AC28" s="2"/>
      <c r="AD28" s="2"/>
      <c r="AE28" s="2"/>
      <c r="AF28" s="2"/>
      <c r="AG28" s="2"/>
      <c r="AH28" s="2"/>
    </row>
    <row r="29">
      <c r="B29" s="28" t="s">
        <v>29</v>
      </c>
      <c r="C29" s="29"/>
      <c r="D29" s="30"/>
      <c r="E29" s="9"/>
      <c r="F29" s="9"/>
      <c r="G29" s="9"/>
      <c r="H29" s="9"/>
      <c r="I29" s="9"/>
      <c r="J29" s="9"/>
      <c r="K29" s="9"/>
      <c r="L29" s="9"/>
      <c r="M29" s="9"/>
      <c r="N29" s="9"/>
      <c r="O29" s="2"/>
      <c r="P29" s="2"/>
      <c r="Q29" s="2"/>
      <c r="R29" s="2"/>
      <c r="S29" s="2"/>
      <c r="T29" s="2"/>
      <c r="U29" s="2"/>
      <c r="V29" s="2"/>
      <c r="W29" s="2"/>
      <c r="X29" s="2"/>
      <c r="Y29" s="2"/>
      <c r="Z29" s="2"/>
      <c r="AA29" s="2"/>
      <c r="AB29" s="2"/>
      <c r="AC29" s="2"/>
      <c r="AD29" s="2"/>
      <c r="AE29" s="2"/>
      <c r="AF29" s="2"/>
      <c r="AG29" s="2"/>
      <c r="AH29" s="2"/>
    </row>
    <row r="30">
      <c r="B30" s="28" t="s">
        <v>30</v>
      </c>
      <c r="C30" s="29"/>
      <c r="D30" s="30"/>
      <c r="E30" s="9"/>
      <c r="F30" s="9"/>
      <c r="G30" s="9"/>
      <c r="H30" s="9"/>
      <c r="I30" s="9"/>
      <c r="O30" s="2"/>
      <c r="P30" s="2"/>
      <c r="Q30" s="2"/>
      <c r="R30" s="2"/>
      <c r="S30" s="2"/>
      <c r="T30" s="2"/>
      <c r="U30" s="2"/>
      <c r="V30" s="2"/>
      <c r="W30" s="2"/>
      <c r="X30" s="2"/>
      <c r="Y30" s="2"/>
      <c r="Z30" s="2"/>
      <c r="AA30" s="2"/>
      <c r="AB30" s="2"/>
      <c r="AC30" s="2"/>
      <c r="AD30" s="2"/>
      <c r="AE30" s="2"/>
      <c r="AF30" s="2"/>
      <c r="AG30" s="2"/>
      <c r="AH30" s="2"/>
    </row>
    <row r="31">
      <c r="B31" s="28" t="s">
        <v>31</v>
      </c>
      <c r="C31" s="29"/>
      <c r="D31" s="30"/>
      <c r="E31" s="9"/>
      <c r="F31" s="9"/>
      <c r="G31" s="9"/>
      <c r="H31" s="9"/>
      <c r="I31" s="9"/>
      <c r="O31" s="2"/>
      <c r="P31" s="2"/>
      <c r="Q31" s="2"/>
      <c r="R31" s="2"/>
      <c r="S31" s="2"/>
      <c r="T31" s="2"/>
      <c r="U31" s="2"/>
      <c r="V31" s="2"/>
      <c r="W31" s="2"/>
      <c r="X31" s="2"/>
      <c r="Y31" s="2"/>
      <c r="Z31" s="2"/>
      <c r="AA31" s="2"/>
      <c r="AB31" s="2"/>
      <c r="AC31" s="2"/>
      <c r="AD31" s="2"/>
      <c r="AE31" s="2"/>
      <c r="AF31" s="2"/>
      <c r="AG31" s="2"/>
      <c r="AH31" s="2"/>
    </row>
    <row r="32">
      <c r="B32" s="26" t="s">
        <v>32</v>
      </c>
      <c r="C32" s="27"/>
      <c r="D32" s="27"/>
      <c r="E32" s="9"/>
      <c r="F32" s="9"/>
      <c r="G32" s="9"/>
      <c r="H32" s="9"/>
      <c r="I32" s="9"/>
      <c r="O32" s="2"/>
      <c r="P32" s="2"/>
      <c r="Q32" s="2"/>
      <c r="R32" s="2"/>
      <c r="S32" s="2"/>
      <c r="T32" s="2"/>
      <c r="U32" s="2"/>
      <c r="V32" s="2"/>
      <c r="W32" s="2"/>
      <c r="X32" s="2"/>
      <c r="Y32" s="2"/>
      <c r="Z32" s="2"/>
      <c r="AA32" s="2"/>
      <c r="AB32" s="2"/>
      <c r="AC32" s="2"/>
      <c r="AD32" s="2"/>
      <c r="AE32" s="2"/>
      <c r="AF32" s="2"/>
      <c r="AG32" s="2"/>
      <c r="AH32" s="2"/>
    </row>
    <row r="33">
      <c r="A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c r="A34" s="20" t="s">
        <v>33</v>
      </c>
      <c r="B34" s="32" t="s">
        <v>34</v>
      </c>
      <c r="C34" s="33" t="s">
        <v>35</v>
      </c>
      <c r="D34" s="33" t="s">
        <v>36</v>
      </c>
      <c r="E34" s="33"/>
      <c r="F34" s="34"/>
      <c r="G34" s="33"/>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row>
    <row r="35">
      <c r="A35" s="28" t="s">
        <v>37</v>
      </c>
      <c r="B35" s="35"/>
      <c r="C35" s="36"/>
      <c r="D35" s="36"/>
      <c r="E35" s="36"/>
      <c r="G35" s="36" t="s">
        <v>38</v>
      </c>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c r="A36" s="28"/>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c r="A37" s="26"/>
      <c r="B37" s="37" t="s">
        <v>34</v>
      </c>
      <c r="C37" s="24" t="s">
        <v>39</v>
      </c>
      <c r="D37" s="24" t="s">
        <v>40</v>
      </c>
      <c r="E37" s="24" t="s">
        <v>41</v>
      </c>
      <c r="F37" s="24" t="s">
        <v>42</v>
      </c>
      <c r="G37" s="24" t="s">
        <v>43</v>
      </c>
      <c r="H37" s="37" t="s">
        <v>44</v>
      </c>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row>
    <row r="38">
      <c r="A38" s="28" t="s">
        <v>45</v>
      </c>
      <c r="B38" s="35"/>
      <c r="C38" s="38"/>
      <c r="D38" s="38"/>
      <c r="E38" s="38"/>
      <c r="F38" s="36"/>
      <c r="G38" s="39"/>
      <c r="H38" s="40"/>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c r="A39" s="28" t="s">
        <v>46</v>
      </c>
      <c r="B39" s="35"/>
      <c r="C39" s="38"/>
      <c r="D39" s="38"/>
      <c r="E39" s="38"/>
      <c r="F39" s="36"/>
      <c r="G39" s="39"/>
      <c r="H39" s="40"/>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c r="A40" s="28" t="s">
        <v>47</v>
      </c>
      <c r="B40" s="35"/>
      <c r="C40" s="36"/>
      <c r="D40" s="41"/>
      <c r="E40" s="38"/>
      <c r="F40" s="36"/>
      <c r="G40" s="39"/>
      <c r="H40" s="40"/>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c r="A41" s="28" t="s">
        <v>48</v>
      </c>
      <c r="B41" s="35"/>
      <c r="C41" s="36"/>
      <c r="D41" s="41"/>
      <c r="E41" s="38"/>
      <c r="F41" s="36"/>
      <c r="G41" s="39"/>
      <c r="H41" s="40"/>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c r="A42" s="28" t="s">
        <v>49</v>
      </c>
      <c r="B42" s="35"/>
      <c r="C42" s="38"/>
      <c r="D42" s="38"/>
      <c r="E42" s="38"/>
      <c r="F42" s="36"/>
      <c r="G42" s="39"/>
      <c r="H42" s="40"/>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c r="A43" s="28" t="s">
        <v>50</v>
      </c>
      <c r="B43" s="42"/>
      <c r="C43" s="43" t="s">
        <v>51</v>
      </c>
      <c r="D43" s="44"/>
      <c r="E43" s="44"/>
      <c r="F43" s="44"/>
      <c r="G43" s="39"/>
      <c r="H43" s="40"/>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c r="A44" s="28" t="s">
        <v>52</v>
      </c>
      <c r="B44" s="35"/>
      <c r="C44" s="38"/>
      <c r="D44" s="38"/>
      <c r="E44" s="38"/>
      <c r="F44" s="36"/>
      <c r="G44" s="39"/>
      <c r="H44" s="40"/>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c r="A45" s="45" t="s">
        <v>53</v>
      </c>
      <c r="B45" s="46"/>
      <c r="C45" s="38"/>
      <c r="D45" s="38"/>
      <c r="E45" s="38"/>
      <c r="F45" s="36"/>
      <c r="G45" s="39"/>
      <c r="H45" s="40"/>
      <c r="I45" s="47"/>
      <c r="J45" s="2"/>
      <c r="K45" s="2"/>
      <c r="L45" s="2"/>
      <c r="M45" s="2"/>
      <c r="N45" s="2"/>
      <c r="O45" s="2"/>
      <c r="P45" s="2"/>
      <c r="Q45" s="2"/>
      <c r="R45" s="2"/>
      <c r="S45" s="2"/>
      <c r="T45" s="2"/>
      <c r="U45" s="2"/>
      <c r="V45" s="2"/>
      <c r="W45" s="2"/>
      <c r="X45" s="2"/>
      <c r="Y45" s="2"/>
      <c r="Z45" s="2"/>
      <c r="AA45" s="2"/>
      <c r="AB45" s="2"/>
      <c r="AC45" s="2"/>
      <c r="AD45" s="2"/>
      <c r="AE45" s="2"/>
      <c r="AF45" s="2"/>
      <c r="AG45" s="2"/>
      <c r="AH45" s="2"/>
    </row>
    <row r="46">
      <c r="A46" s="28" t="s">
        <v>54</v>
      </c>
      <c r="B46" s="35"/>
      <c r="C46" s="38"/>
      <c r="D46" s="38"/>
      <c r="E46" s="38"/>
      <c r="F46" s="36"/>
      <c r="G46" s="39"/>
      <c r="H46" s="40"/>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c r="A47" s="28" t="s">
        <v>55</v>
      </c>
      <c r="B47" s="35"/>
      <c r="C47" s="38"/>
      <c r="D47" s="38"/>
      <c r="E47" s="38"/>
      <c r="F47" s="36"/>
      <c r="G47" s="39"/>
      <c r="H47" s="40"/>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c r="A48" s="28" t="s">
        <v>56</v>
      </c>
      <c r="B48" s="35"/>
      <c r="C48" s="36"/>
      <c r="D48" s="36"/>
      <c r="E48" s="38"/>
      <c r="F48" s="36"/>
      <c r="G48" s="39"/>
      <c r="H48" s="40"/>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c r="A49" s="28" t="s">
        <v>57</v>
      </c>
      <c r="B49" s="40"/>
      <c r="C49" s="39"/>
      <c r="D49" s="39"/>
      <c r="E49" s="39"/>
      <c r="F49" s="39"/>
      <c r="G49" s="39"/>
      <c r="H49" s="40"/>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c r="A50" s="28" t="s">
        <v>58</v>
      </c>
      <c r="B50" s="40"/>
      <c r="C50" s="39"/>
      <c r="D50" s="39"/>
      <c r="E50" s="39"/>
      <c r="F50" s="39"/>
      <c r="G50" s="39"/>
      <c r="H50" s="40"/>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c r="A51" s="28" t="s">
        <v>59</v>
      </c>
      <c r="B51" s="40"/>
      <c r="C51" s="39"/>
      <c r="D51" s="39"/>
      <c r="E51" s="39"/>
      <c r="F51" s="39"/>
      <c r="G51" s="39"/>
      <c r="H51" s="40"/>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c r="A52" s="28" t="s">
        <v>60</v>
      </c>
      <c r="B52" s="40"/>
      <c r="C52" s="39"/>
      <c r="D52" s="39"/>
      <c r="E52" s="39"/>
      <c r="F52" s="39"/>
      <c r="G52" s="39"/>
      <c r="H52" s="40"/>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c r="A53" s="28" t="s">
        <v>61</v>
      </c>
      <c r="B53" s="40"/>
      <c r="C53" s="39"/>
      <c r="D53" s="39"/>
      <c r="E53" s="39"/>
      <c r="F53" s="39"/>
      <c r="G53" s="39"/>
      <c r="H53" s="40"/>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ht="30.75" customHeight="1">
      <c r="A54" s="48" t="s">
        <v>62</v>
      </c>
      <c r="B54" s="35"/>
      <c r="C54" s="38"/>
      <c r="D54" s="38"/>
      <c r="E54" s="38"/>
      <c r="F54" s="38"/>
      <c r="G54" s="38"/>
      <c r="H54" s="49"/>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c r="A55" s="47"/>
      <c r="B55" s="50"/>
      <c r="C55" s="51"/>
      <c r="D55" s="51"/>
      <c r="E55" s="51"/>
      <c r="F55" s="51"/>
      <c r="G55" s="51"/>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c r="A56" s="52" t="s">
        <v>63</v>
      </c>
      <c r="B56" s="2"/>
      <c r="C56" s="53" t="s">
        <v>64</v>
      </c>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c r="B57" s="54"/>
      <c r="G57" s="54"/>
      <c r="H57" s="54"/>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c r="A58" s="55" t="s">
        <v>65</v>
      </c>
      <c r="B58" s="56"/>
      <c r="H58" s="54"/>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c r="A59" s="55" t="s">
        <v>66</v>
      </c>
      <c r="B59" s="56"/>
      <c r="C59" s="57" t="s">
        <v>67</v>
      </c>
      <c r="D59" s="58"/>
      <c r="H59" s="54"/>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c r="A60" s="55" t="s">
        <v>68</v>
      </c>
      <c r="B60" s="56"/>
      <c r="C60" s="59"/>
      <c r="D60" s="54"/>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c r="A61" s="55" t="s">
        <v>69</v>
      </c>
      <c r="B61" s="56"/>
      <c r="C61" s="54" t="s">
        <v>70</v>
      </c>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c r="A62" s="55" t="s">
        <v>71</v>
      </c>
      <c r="B62" s="56"/>
      <c r="C62" s="14" t="s">
        <v>72</v>
      </c>
      <c r="D62" s="16"/>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c r="A63" s="55" t="s">
        <v>73</v>
      </c>
      <c r="B63" s="56"/>
      <c r="C63" s="9" t="s">
        <v>74</v>
      </c>
      <c r="D63" s="16"/>
      <c r="E63" s="16"/>
      <c r="F63" s="16"/>
      <c r="G63" s="16"/>
      <c r="H63" s="16"/>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c r="A64" s="55" t="s">
        <v>75</v>
      </c>
      <c r="B64" s="56"/>
      <c r="C64" s="16"/>
      <c r="D64" s="16"/>
      <c r="E64" s="16"/>
      <c r="F64" s="16"/>
      <c r="G64" s="16"/>
      <c r="H64" s="16"/>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c r="A65" s="55" t="s">
        <v>76</v>
      </c>
      <c r="B65" s="56"/>
      <c r="C65" s="9"/>
      <c r="D65" s="16"/>
      <c r="E65" s="16"/>
      <c r="F65" s="16"/>
      <c r="G65" s="16"/>
      <c r="H65" s="16"/>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c r="A66" s="55" t="s">
        <v>77</v>
      </c>
      <c r="B66" s="56"/>
      <c r="C66" s="9"/>
      <c r="D66" s="16"/>
      <c r="E66" s="16"/>
      <c r="F66" s="16"/>
      <c r="G66" s="16"/>
      <c r="H66" s="16"/>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c r="A67" s="55" t="s">
        <v>78</v>
      </c>
      <c r="B67" s="56"/>
      <c r="C67" s="9" t="s">
        <v>79</v>
      </c>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c r="A68" s="55" t="s">
        <v>80</v>
      </c>
      <c r="B68" s="56"/>
      <c r="C68" s="16"/>
      <c r="D68" s="16"/>
      <c r="E68" s="16"/>
      <c r="F68" s="16"/>
      <c r="G68" s="16"/>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c r="A69" s="55" t="s">
        <v>81</v>
      </c>
      <c r="B69" s="56"/>
      <c r="C69" s="16"/>
      <c r="D69" s="16"/>
      <c r="E69" s="16"/>
      <c r="F69" s="16"/>
      <c r="G69" s="16"/>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c r="A70" s="55" t="s">
        <v>82</v>
      </c>
      <c r="B70" s="56"/>
      <c r="C70" s="16"/>
      <c r="D70" s="16"/>
      <c r="E70" s="16"/>
      <c r="F70" s="16"/>
      <c r="G70" s="1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c r="A71" s="55" t="s">
        <v>83</v>
      </c>
      <c r="B71" s="56"/>
      <c r="C71" s="16"/>
      <c r="D71" s="16"/>
      <c r="E71" s="16"/>
      <c r="F71" s="16"/>
      <c r="G71" s="16"/>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c r="A72" s="55" t="s">
        <v>84</v>
      </c>
      <c r="B72" s="56"/>
      <c r="C72" s="60" t="s">
        <v>85</v>
      </c>
      <c r="D72" s="9" t="s">
        <v>86</v>
      </c>
      <c r="E72" s="16"/>
      <c r="F72" s="16"/>
      <c r="G72" s="16"/>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c r="A73" s="55" t="s">
        <v>87</v>
      </c>
      <c r="B73" s="56"/>
      <c r="C73" s="60" t="s">
        <v>88</v>
      </c>
      <c r="D73" s="9" t="s">
        <v>89</v>
      </c>
      <c r="E73" s="16"/>
      <c r="F73" s="16"/>
      <c r="G73" s="16"/>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c r="A74" s="45"/>
      <c r="B74" s="61"/>
      <c r="C74" s="16"/>
      <c r="D74" s="16"/>
      <c r="E74" s="16"/>
      <c r="F74" s="16"/>
      <c r="G74" s="16"/>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c r="A75" s="37" t="s">
        <v>90</v>
      </c>
      <c r="B75" s="2"/>
      <c r="C75" s="16"/>
      <c r="D75" s="16"/>
      <c r="E75" s="16"/>
      <c r="F75" s="16"/>
      <c r="G75" s="16"/>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c r="A76" s="55" t="s">
        <v>91</v>
      </c>
      <c r="B76" s="56"/>
      <c r="C76" s="14"/>
      <c r="D76" s="14"/>
      <c r="E76" s="14"/>
      <c r="F76" s="14"/>
      <c r="G76" s="14"/>
      <c r="H76" s="14"/>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c r="A77" s="55" t="s">
        <v>92</v>
      </c>
      <c r="B77" s="62"/>
      <c r="C77" s="14"/>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c r="A78" s="55" t="s">
        <v>93</v>
      </c>
      <c r="B78" s="56"/>
      <c r="C78" s="63"/>
      <c r="D78" s="63"/>
      <c r="E78" s="63"/>
      <c r="F78" s="63"/>
      <c r="G78" s="63"/>
      <c r="H78" s="63"/>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c r="A79" s="55" t="s">
        <v>94</v>
      </c>
      <c r="B79" s="56"/>
      <c r="C79" s="64" t="s">
        <v>95</v>
      </c>
      <c r="D79" s="64" t="s">
        <v>96</v>
      </c>
      <c r="E79" s="65"/>
      <c r="F79" s="14"/>
      <c r="G79" s="14"/>
      <c r="H79" s="14"/>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c r="A80" s="55" t="s">
        <v>97</v>
      </c>
      <c r="B80" s="66"/>
      <c r="C80" s="63" t="s">
        <v>98</v>
      </c>
      <c r="D80" s="63"/>
      <c r="E80" s="63"/>
      <c r="F80" s="63"/>
      <c r="G80" s="63"/>
      <c r="H80" s="63"/>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c r="A81" s="55" t="s">
        <v>99</v>
      </c>
      <c r="B81" s="56"/>
      <c r="C81" s="60" t="str">
        <f>HYPERLINK("https://drive.google.com/file/d/1Vl_AMdB4M136risxnh30qPwkZ3gPXFZj/view?usp=sharing","Cake Gazebo Picture")</f>
        <v>Cake Gazebo Picture</v>
      </c>
      <c r="D81" s="63"/>
      <c r="E81" s="63"/>
      <c r="F81" s="63"/>
      <c r="G81" s="63"/>
      <c r="H81" s="63"/>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c r="A82" s="55" t="s">
        <v>100</v>
      </c>
      <c r="B82" s="56"/>
      <c r="C82" s="63" t="s">
        <v>101</v>
      </c>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c r="A83" s="55" t="s">
        <v>102</v>
      </c>
      <c r="B83" s="62"/>
      <c r="C83" s="63" t="s">
        <v>103</v>
      </c>
      <c r="D83" s="63"/>
      <c r="E83" s="63"/>
      <c r="F83" s="63"/>
      <c r="G83" s="63"/>
      <c r="H83" s="63"/>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c r="A84" s="55" t="s">
        <v>104</v>
      </c>
      <c r="B84" s="62"/>
      <c r="C84" s="63"/>
      <c r="D84" s="63"/>
      <c r="E84" s="63"/>
      <c r="F84" s="63"/>
      <c r="G84" s="63"/>
      <c r="H84" s="63"/>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c r="A85" s="55" t="s">
        <v>105</v>
      </c>
      <c r="B85" s="56"/>
      <c r="C85" s="67"/>
      <c r="D85" s="54"/>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c r="A86" s="55" t="s">
        <v>106</v>
      </c>
      <c r="B86" s="62"/>
      <c r="C86" s="68" t="s">
        <v>107</v>
      </c>
      <c r="D86" s="54"/>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c r="A87" s="55" t="s">
        <v>108</v>
      </c>
      <c r="B87" s="62"/>
      <c r="C87" s="54" t="s">
        <v>109</v>
      </c>
      <c r="E87" s="54"/>
      <c r="F87" s="54"/>
      <c r="G87" s="54"/>
      <c r="H87" s="54"/>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c r="A88" s="55" t="s">
        <v>110</v>
      </c>
      <c r="B88" s="62"/>
      <c r="C88" s="54" t="s">
        <v>109</v>
      </c>
      <c r="E88" s="54"/>
      <c r="F88" s="54"/>
      <c r="G88" s="54"/>
      <c r="H88" s="54"/>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c r="A89" s="55" t="s">
        <v>111</v>
      </c>
      <c r="B89" s="56"/>
      <c r="C89" s="69"/>
      <c r="D89" s="54"/>
      <c r="E89" s="54"/>
      <c r="F89" s="54"/>
      <c r="G89" s="54"/>
      <c r="H89" s="54"/>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c r="A90" s="55" t="s">
        <v>112</v>
      </c>
      <c r="B90" s="56"/>
      <c r="C90" s="69"/>
      <c r="D90" s="54"/>
      <c r="E90" s="54"/>
      <c r="F90" s="54"/>
      <c r="G90" s="54"/>
      <c r="H90" s="54"/>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c r="A91" s="55" t="s">
        <v>113</v>
      </c>
      <c r="B91" s="62"/>
      <c r="C91" s="14"/>
      <c r="D91" s="14"/>
      <c r="E91" s="14"/>
      <c r="F91" s="14"/>
      <c r="G91" s="14"/>
      <c r="H91" s="14"/>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c r="A92" s="55" t="s">
        <v>114</v>
      </c>
      <c r="B92" s="56"/>
      <c r="C92" s="14" t="s">
        <v>115</v>
      </c>
      <c r="D92" s="14"/>
      <c r="E92" s="14"/>
      <c r="F92" s="14"/>
      <c r="G92" s="14"/>
      <c r="H92" s="14"/>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c r="A93" s="55" t="s">
        <v>116</v>
      </c>
      <c r="B93" s="56"/>
      <c r="C93" s="70" t="s">
        <v>117</v>
      </c>
      <c r="D93" s="14"/>
      <c r="E93" s="14"/>
      <c r="F93" s="14"/>
      <c r="G93" s="14"/>
      <c r="H93" s="14"/>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c r="A94" s="55" t="s">
        <v>118</v>
      </c>
      <c r="B94" s="62"/>
      <c r="C94" s="71"/>
      <c r="D94" s="54"/>
      <c r="E94" s="54"/>
      <c r="F94" s="54"/>
      <c r="G94" s="54"/>
      <c r="H94" s="54"/>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c r="A95" s="49"/>
      <c r="B95" s="2"/>
      <c r="C95" s="16"/>
      <c r="D95" s="16"/>
      <c r="E95" s="16"/>
      <c r="F95" s="16"/>
      <c r="G95" s="16"/>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c r="A96" s="49"/>
      <c r="B96" s="2"/>
      <c r="C96" s="16"/>
      <c r="D96" s="16"/>
      <c r="E96" s="16"/>
      <c r="F96" s="16"/>
      <c r="G96" s="16"/>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c r="A97" s="49"/>
      <c r="B97" s="2"/>
      <c r="C97" s="16"/>
      <c r="D97" s="16"/>
      <c r="E97" s="16"/>
      <c r="F97" s="16"/>
      <c r="G97" s="16"/>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c r="A98" s="37" t="s">
        <v>119</v>
      </c>
      <c r="B98" s="2"/>
      <c r="C98" s="16"/>
      <c r="D98" s="16"/>
      <c r="E98" s="16"/>
      <c r="F98" s="16"/>
      <c r="G98" s="16"/>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c r="A99" s="55" t="s">
        <v>120</v>
      </c>
      <c r="B99" s="56"/>
      <c r="C99" s="9" t="s">
        <v>121</v>
      </c>
      <c r="D99" s="16"/>
      <c r="E99" s="16"/>
      <c r="F99" s="16"/>
      <c r="G99" s="16"/>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c r="A100" s="55" t="s">
        <v>122</v>
      </c>
      <c r="B100" s="56"/>
      <c r="C100" s="9" t="s">
        <v>123</v>
      </c>
      <c r="D100" s="16"/>
      <c r="E100" s="16"/>
      <c r="F100" s="16"/>
      <c r="G100" s="16"/>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55" t="s">
        <v>124</v>
      </c>
      <c r="B101" s="62"/>
      <c r="C101" s="72" t="s">
        <v>125</v>
      </c>
      <c r="D101" s="16"/>
      <c r="E101" s="16"/>
      <c r="F101" s="16"/>
      <c r="G101" s="16"/>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55" t="s">
        <v>126</v>
      </c>
      <c r="B102" s="62"/>
      <c r="C102" s="16"/>
      <c r="D102" s="16"/>
      <c r="E102" s="16"/>
      <c r="F102" s="16"/>
      <c r="G102" s="16"/>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55" t="s">
        <v>127</v>
      </c>
      <c r="B103" s="62"/>
      <c r="C103" s="16"/>
      <c r="D103" s="16"/>
      <c r="E103" s="16"/>
      <c r="F103" s="16"/>
      <c r="G103" s="16"/>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55" t="s">
        <v>128</v>
      </c>
      <c r="B104" s="62"/>
      <c r="C104" s="9"/>
      <c r="D104" s="16"/>
      <c r="E104" s="16"/>
      <c r="F104" s="16"/>
      <c r="G104" s="16"/>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55" t="s">
        <v>129</v>
      </c>
      <c r="B105" s="56"/>
      <c r="C105" s="9" t="s">
        <v>130</v>
      </c>
      <c r="D105" s="16"/>
      <c r="E105" s="16"/>
      <c r="F105" s="16"/>
      <c r="G105" s="16"/>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55" t="s">
        <v>131</v>
      </c>
      <c r="B106" s="56"/>
      <c r="C106" s="9"/>
      <c r="D106" s="16"/>
      <c r="E106" s="16"/>
      <c r="F106" s="16"/>
      <c r="G106" s="16"/>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55" t="s">
        <v>132</v>
      </c>
      <c r="B107" s="56"/>
      <c r="C107" s="9"/>
      <c r="D107" s="16"/>
      <c r="E107" s="16"/>
      <c r="F107" s="16"/>
      <c r="G107" s="16"/>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55" t="s">
        <v>133</v>
      </c>
      <c r="B108" s="56"/>
      <c r="C108" s="9" t="s">
        <v>134</v>
      </c>
      <c r="D108" s="16"/>
      <c r="E108" s="16"/>
      <c r="F108" s="16"/>
      <c r="G108" s="16"/>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49"/>
      <c r="B109" s="2"/>
      <c r="C109" s="16"/>
      <c r="D109" s="16"/>
      <c r="E109" s="16"/>
      <c r="F109" s="16"/>
      <c r="G109" s="16"/>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37" t="s">
        <v>135</v>
      </c>
      <c r="B110" s="2"/>
      <c r="C110" s="16"/>
      <c r="D110" s="16"/>
      <c r="E110" s="16"/>
      <c r="F110" s="16"/>
      <c r="G110" s="16"/>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55" t="s">
        <v>136</v>
      </c>
      <c r="B111" s="56"/>
      <c r="C111" s="9" t="s">
        <v>137</v>
      </c>
      <c r="D111" s="16"/>
      <c r="E111" s="16"/>
      <c r="F111" s="16"/>
      <c r="G111" s="16"/>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55" t="s">
        <v>138</v>
      </c>
      <c r="B112" s="62"/>
      <c r="C112" s="9" t="s">
        <v>139</v>
      </c>
      <c r="D112" s="16"/>
      <c r="E112" s="16"/>
      <c r="F112" s="16"/>
      <c r="G112" s="16"/>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55" t="s">
        <v>140</v>
      </c>
      <c r="B113" s="62"/>
      <c r="C113" s="16"/>
      <c r="D113" s="16"/>
      <c r="E113" s="16"/>
      <c r="F113" s="16"/>
      <c r="G113" s="16"/>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55" t="s">
        <v>141</v>
      </c>
      <c r="B114" s="62"/>
      <c r="C114" s="9" t="s">
        <v>142</v>
      </c>
      <c r="D114" s="16"/>
      <c r="E114" s="16"/>
      <c r="F114" s="16"/>
      <c r="G114" s="16"/>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45"/>
      <c r="B115" s="50"/>
      <c r="C115" s="16"/>
      <c r="D115" s="16"/>
      <c r="E115" s="16"/>
      <c r="F115" s="16"/>
      <c r="G115" s="16"/>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37" t="s">
        <v>143</v>
      </c>
      <c r="B116" s="2"/>
      <c r="C116" s="16"/>
      <c r="D116" s="16"/>
      <c r="E116" s="16"/>
      <c r="F116" s="16"/>
      <c r="G116" s="16"/>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55" t="s">
        <v>144</v>
      </c>
      <c r="B117" s="56"/>
      <c r="C117" s="73" t="s">
        <v>145</v>
      </c>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55" t="s">
        <v>146</v>
      </c>
      <c r="B118" s="62"/>
      <c r="C118" s="74"/>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55" t="s">
        <v>147</v>
      </c>
      <c r="B119" s="62"/>
      <c r="C119" s="33" t="s">
        <v>148</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55" t="s">
        <v>149</v>
      </c>
      <c r="B120" s="62"/>
      <c r="C120" s="9" t="s">
        <v>150</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55" t="s">
        <v>151</v>
      </c>
      <c r="B121" s="62"/>
      <c r="C121" s="16"/>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55" t="s">
        <v>152</v>
      </c>
      <c r="B122" s="62"/>
      <c r="C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55" t="s">
        <v>153</v>
      </c>
      <c r="B123" s="62"/>
      <c r="C123" s="75"/>
      <c r="D123" s="14"/>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55" t="s">
        <v>154</v>
      </c>
      <c r="B124" s="62"/>
      <c r="C124" s="9" t="s">
        <v>155</v>
      </c>
      <c r="D124" s="16"/>
      <c r="E124" s="16"/>
      <c r="F124" s="16"/>
      <c r="G124" s="16"/>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55" t="s">
        <v>156</v>
      </c>
      <c r="B125" s="62"/>
      <c r="C125" s="9"/>
      <c r="D125" s="16"/>
      <c r="E125" s="16"/>
      <c r="F125" s="16"/>
      <c r="G125" s="16"/>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2"/>
      <c r="B126" s="2"/>
      <c r="C126" s="16"/>
      <c r="D126" s="16"/>
      <c r="E126" s="16"/>
      <c r="F126" s="16"/>
      <c r="G126" s="16"/>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A127" s="2"/>
      <c r="B127" s="2"/>
      <c r="C127" s="16"/>
      <c r="D127" s="16"/>
      <c r="E127" s="16"/>
      <c r="F127" s="16"/>
      <c r="G127" s="16"/>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A128" s="76"/>
      <c r="B128" s="2"/>
      <c r="C128" s="16"/>
      <c r="D128" s="16"/>
      <c r="E128" s="16"/>
      <c r="F128" s="16"/>
      <c r="G128" s="16"/>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A129" s="77" t="s">
        <v>157</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A130" s="78" t="s">
        <v>158</v>
      </c>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c r="A136" s="2"/>
      <c r="B136" s="2"/>
      <c r="C136" s="16"/>
      <c r="D136" s="16"/>
      <c r="E136" s="16"/>
      <c r="F136" s="16"/>
      <c r="G136" s="16"/>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c r="A137" s="2"/>
      <c r="B137" s="2"/>
      <c r="C137" s="16"/>
      <c r="D137" s="16"/>
      <c r="E137" s="16"/>
      <c r="F137" s="16"/>
      <c r="G137" s="16"/>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c r="A138" s="79" t="s">
        <v>159</v>
      </c>
      <c r="B138" s="80" t="s">
        <v>160</v>
      </c>
      <c r="C138" s="81"/>
      <c r="D138" s="81"/>
      <c r="E138" s="81"/>
      <c r="F138" s="81"/>
      <c r="G138" s="81"/>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row>
    <row r="139">
      <c r="A139" s="82"/>
      <c r="B139" s="80" t="s">
        <v>161</v>
      </c>
      <c r="C139" s="81"/>
      <c r="D139" s="81"/>
      <c r="E139" s="81"/>
      <c r="F139" s="81"/>
      <c r="G139" s="81"/>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row>
    <row r="140">
      <c r="A140" s="82"/>
      <c r="B140" s="80" t="s">
        <v>162</v>
      </c>
      <c r="C140" s="81"/>
      <c r="D140" s="81"/>
      <c r="E140" s="81"/>
      <c r="F140" s="81"/>
      <c r="G140" s="81"/>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row>
    <row r="141">
      <c r="A141" s="82"/>
      <c r="B141" s="80"/>
      <c r="C141" s="81"/>
      <c r="D141" s="81"/>
      <c r="E141" s="81"/>
      <c r="F141" s="81"/>
      <c r="G141" s="81"/>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row>
    <row r="142">
      <c r="A142" s="2"/>
      <c r="B142" s="2"/>
      <c r="C142" s="16"/>
      <c r="D142" s="16"/>
      <c r="E142" s="16"/>
      <c r="F142" s="16"/>
      <c r="G142" s="16"/>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83" t="s">
        <v>163</v>
      </c>
      <c r="B143" s="84" t="s">
        <v>164</v>
      </c>
      <c r="C143" s="16"/>
      <c r="D143" s="16"/>
      <c r="E143" s="16"/>
      <c r="F143" s="16"/>
      <c r="G143" s="16"/>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80" t="s">
        <v>165</v>
      </c>
      <c r="C144" s="16"/>
      <c r="D144" s="16"/>
      <c r="E144" s="16"/>
      <c r="F144" s="16"/>
      <c r="G144" s="16"/>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80" t="s">
        <v>166</v>
      </c>
      <c r="C145" s="16"/>
      <c r="D145" s="16"/>
      <c r="E145" s="16"/>
      <c r="F145" s="16"/>
      <c r="G145" s="16"/>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85" t="s">
        <v>167</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85" t="s">
        <v>168</v>
      </c>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85" t="s">
        <v>169</v>
      </c>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16"/>
      <c r="D149" s="16"/>
      <c r="E149" s="16"/>
      <c r="F149" s="16"/>
      <c r="G149" s="16"/>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16"/>
      <c r="D150" s="16"/>
      <c r="E150" s="16"/>
      <c r="F150" s="16"/>
      <c r="G150" s="16"/>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16"/>
      <c r="D151" s="16"/>
      <c r="E151" s="16"/>
      <c r="F151" s="16"/>
      <c r="G151" s="16"/>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16"/>
      <c r="D152" s="16"/>
      <c r="E152" s="16"/>
      <c r="F152" s="16"/>
      <c r="G152" s="16"/>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16"/>
      <c r="D153" s="16"/>
      <c r="E153" s="16"/>
      <c r="F153" s="16"/>
      <c r="G153" s="16"/>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16"/>
      <c r="D154" s="16"/>
      <c r="E154" s="16"/>
      <c r="F154" s="16"/>
      <c r="G154" s="16"/>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16"/>
      <c r="D155" s="16"/>
      <c r="E155" s="16"/>
      <c r="F155" s="16"/>
      <c r="G155" s="16"/>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16"/>
      <c r="D156" s="16"/>
      <c r="E156" s="16"/>
      <c r="F156" s="16"/>
      <c r="G156" s="16"/>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16"/>
      <c r="D157" s="16"/>
      <c r="E157" s="16"/>
      <c r="F157" s="16"/>
      <c r="G157" s="16"/>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16"/>
      <c r="D158" s="16"/>
      <c r="E158" s="16"/>
      <c r="F158" s="16"/>
      <c r="G158" s="16"/>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16"/>
      <c r="D159" s="16"/>
      <c r="E159" s="16"/>
      <c r="F159" s="16"/>
      <c r="G159" s="16"/>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16"/>
      <c r="D160" s="16"/>
      <c r="E160" s="16"/>
      <c r="F160" s="16"/>
      <c r="G160" s="16"/>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16"/>
      <c r="D161" s="16"/>
      <c r="E161" s="16"/>
      <c r="F161" s="16"/>
      <c r="G161" s="16"/>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16"/>
      <c r="D162" s="16"/>
      <c r="E162" s="16"/>
      <c r="F162" s="16"/>
      <c r="G162" s="16"/>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16"/>
      <c r="D163" s="16"/>
      <c r="E163" s="16"/>
      <c r="F163" s="16"/>
      <c r="G163" s="16"/>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16"/>
      <c r="D164" s="16"/>
      <c r="E164" s="16"/>
      <c r="F164" s="16"/>
      <c r="G164" s="16"/>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16"/>
      <c r="D165" s="16"/>
      <c r="E165" s="16"/>
      <c r="F165" s="16"/>
      <c r="G165" s="16"/>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16"/>
      <c r="D166" s="16"/>
      <c r="E166" s="16"/>
      <c r="F166" s="16"/>
      <c r="G166" s="16"/>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16"/>
      <c r="D167" s="16"/>
      <c r="E167" s="16"/>
      <c r="F167" s="16"/>
      <c r="G167" s="16"/>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16"/>
      <c r="D168" s="16"/>
      <c r="E168" s="16"/>
      <c r="F168" s="16"/>
      <c r="G168" s="16"/>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16"/>
      <c r="D169" s="16"/>
      <c r="E169" s="16"/>
      <c r="F169" s="16"/>
      <c r="G169" s="16"/>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16"/>
      <c r="D170" s="16"/>
      <c r="E170" s="16"/>
      <c r="F170" s="16"/>
      <c r="G170" s="16"/>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16"/>
      <c r="D171" s="16"/>
      <c r="E171" s="16"/>
      <c r="F171" s="16"/>
      <c r="G171" s="16"/>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16"/>
      <c r="D172" s="16"/>
      <c r="E172" s="16"/>
      <c r="F172" s="16"/>
      <c r="G172" s="16"/>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16"/>
      <c r="D173" s="16"/>
      <c r="E173" s="16"/>
      <c r="F173" s="16"/>
      <c r="G173" s="16"/>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16"/>
      <c r="D174" s="16"/>
      <c r="E174" s="16"/>
      <c r="F174" s="16"/>
      <c r="G174" s="16"/>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16"/>
      <c r="D175" s="16"/>
      <c r="E175" s="16"/>
      <c r="F175" s="16"/>
      <c r="G175" s="16"/>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16"/>
      <c r="D176" s="16"/>
      <c r="E176" s="16"/>
      <c r="F176" s="16"/>
      <c r="G176" s="16"/>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16"/>
      <c r="D177" s="16"/>
      <c r="E177" s="16"/>
      <c r="F177" s="16"/>
      <c r="G177" s="16"/>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16"/>
      <c r="D178" s="16"/>
      <c r="E178" s="16"/>
      <c r="F178" s="16"/>
      <c r="G178" s="16"/>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16"/>
      <c r="D179" s="16"/>
      <c r="E179" s="16"/>
      <c r="F179" s="16"/>
      <c r="G179" s="16"/>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16"/>
      <c r="D180" s="16"/>
      <c r="E180" s="16"/>
      <c r="F180" s="16"/>
      <c r="G180" s="16"/>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16"/>
      <c r="D181" s="16"/>
      <c r="E181" s="16"/>
      <c r="F181" s="16"/>
      <c r="G181" s="16"/>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16"/>
      <c r="D182" s="16"/>
      <c r="E182" s="16"/>
      <c r="F182" s="16"/>
      <c r="G182" s="16"/>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16"/>
      <c r="D183" s="16"/>
      <c r="E183" s="16"/>
      <c r="F183" s="16"/>
      <c r="G183" s="16"/>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16"/>
      <c r="D184" s="16"/>
      <c r="E184" s="16"/>
      <c r="F184" s="16"/>
      <c r="G184" s="16"/>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16"/>
      <c r="D185" s="16"/>
      <c r="E185" s="16"/>
      <c r="F185" s="16"/>
      <c r="G185" s="16"/>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16"/>
      <c r="D186" s="16"/>
      <c r="E186" s="16"/>
      <c r="F186" s="16"/>
      <c r="G186" s="16"/>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16"/>
      <c r="D187" s="16"/>
      <c r="E187" s="16"/>
      <c r="F187" s="16"/>
      <c r="G187" s="16"/>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16"/>
      <c r="D188" s="16"/>
      <c r="E188" s="16"/>
      <c r="F188" s="16"/>
      <c r="G188" s="16"/>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16"/>
      <c r="D189" s="16"/>
      <c r="E189" s="16"/>
      <c r="F189" s="16"/>
      <c r="G189" s="16"/>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16"/>
      <c r="D190" s="16"/>
      <c r="E190" s="16"/>
      <c r="F190" s="16"/>
      <c r="G190" s="16"/>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16"/>
      <c r="D191" s="16"/>
      <c r="E191" s="16"/>
      <c r="F191" s="16"/>
      <c r="G191" s="16"/>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16"/>
      <c r="D192" s="16"/>
      <c r="E192" s="16"/>
      <c r="F192" s="16"/>
      <c r="G192" s="16"/>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16"/>
      <c r="D193" s="16"/>
      <c r="E193" s="16"/>
      <c r="F193" s="16"/>
      <c r="G193" s="16"/>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16"/>
      <c r="D194" s="16"/>
      <c r="E194" s="16"/>
      <c r="F194" s="16"/>
      <c r="G194" s="16"/>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16"/>
      <c r="D195" s="16"/>
      <c r="E195" s="16"/>
      <c r="F195" s="16"/>
      <c r="G195" s="16"/>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16"/>
      <c r="D196" s="16"/>
      <c r="E196" s="16"/>
      <c r="F196" s="16"/>
      <c r="G196" s="16"/>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16"/>
      <c r="D197" s="16"/>
      <c r="E197" s="16"/>
      <c r="F197" s="16"/>
      <c r="G197" s="16"/>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16"/>
      <c r="D198" s="16"/>
      <c r="E198" s="16"/>
      <c r="F198" s="16"/>
      <c r="G198" s="16"/>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16"/>
      <c r="D199" s="16"/>
      <c r="E199" s="16"/>
      <c r="F199" s="16"/>
      <c r="G199" s="16"/>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16"/>
      <c r="D200" s="16"/>
      <c r="E200" s="16"/>
      <c r="F200" s="16"/>
      <c r="G200" s="16"/>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16"/>
      <c r="D201" s="16"/>
      <c r="E201" s="16"/>
      <c r="F201" s="16"/>
      <c r="G201" s="16"/>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16"/>
      <c r="D202" s="16"/>
      <c r="E202" s="16"/>
      <c r="F202" s="16"/>
      <c r="G202" s="16"/>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16"/>
      <c r="D203" s="16"/>
      <c r="E203" s="16"/>
      <c r="F203" s="16"/>
      <c r="G203" s="16"/>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16"/>
      <c r="D204" s="16"/>
      <c r="E204" s="16"/>
      <c r="F204" s="16"/>
      <c r="G204" s="16"/>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16"/>
      <c r="D205" s="16"/>
      <c r="E205" s="16"/>
      <c r="F205" s="16"/>
      <c r="G205" s="16"/>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16"/>
      <c r="D206" s="16"/>
      <c r="E206" s="16"/>
      <c r="F206" s="16"/>
      <c r="G206" s="16"/>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16"/>
      <c r="D207" s="16"/>
      <c r="E207" s="16"/>
      <c r="F207" s="16"/>
      <c r="G207" s="16"/>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16"/>
      <c r="D208" s="16"/>
      <c r="E208" s="16"/>
      <c r="F208" s="16"/>
      <c r="G208" s="16"/>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16"/>
      <c r="D209" s="16"/>
      <c r="E209" s="16"/>
      <c r="F209" s="16"/>
      <c r="G209" s="16"/>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16"/>
      <c r="D210" s="16"/>
      <c r="E210" s="16"/>
      <c r="F210" s="16"/>
      <c r="G210" s="16"/>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16"/>
      <c r="D211" s="16"/>
      <c r="E211" s="16"/>
      <c r="F211" s="16"/>
      <c r="G211" s="16"/>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16"/>
      <c r="D212" s="16"/>
      <c r="E212" s="16"/>
      <c r="F212" s="16"/>
      <c r="G212" s="16"/>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16"/>
      <c r="D213" s="16"/>
      <c r="E213" s="16"/>
      <c r="F213" s="16"/>
      <c r="G213" s="16"/>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16"/>
      <c r="D214" s="16"/>
      <c r="E214" s="16"/>
      <c r="F214" s="16"/>
      <c r="G214" s="16"/>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16"/>
      <c r="D215" s="16"/>
      <c r="E215" s="16"/>
      <c r="F215" s="16"/>
      <c r="G215" s="16"/>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16"/>
      <c r="D216" s="16"/>
      <c r="E216" s="16"/>
      <c r="F216" s="16"/>
      <c r="G216" s="16"/>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16"/>
      <c r="D217" s="16"/>
      <c r="E217" s="16"/>
      <c r="F217" s="16"/>
      <c r="G217" s="16"/>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16"/>
      <c r="D218" s="16"/>
      <c r="E218" s="16"/>
      <c r="F218" s="16"/>
      <c r="G218" s="16"/>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16"/>
      <c r="D219" s="16"/>
      <c r="E219" s="16"/>
      <c r="F219" s="16"/>
      <c r="G219" s="16"/>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16"/>
      <c r="D220" s="16"/>
      <c r="E220" s="16"/>
      <c r="F220" s="16"/>
      <c r="G220" s="16"/>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16"/>
      <c r="D221" s="16"/>
      <c r="E221" s="16"/>
      <c r="F221" s="16"/>
      <c r="G221" s="16"/>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16"/>
      <c r="D222" s="16"/>
      <c r="E222" s="16"/>
      <c r="F222" s="16"/>
      <c r="G222" s="16"/>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16"/>
      <c r="D223" s="16"/>
      <c r="E223" s="16"/>
      <c r="F223" s="16"/>
      <c r="G223" s="16"/>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16"/>
      <c r="D224" s="16"/>
      <c r="E224" s="16"/>
      <c r="F224" s="16"/>
      <c r="G224" s="16"/>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16"/>
      <c r="D225" s="16"/>
      <c r="E225" s="16"/>
      <c r="F225" s="16"/>
      <c r="G225" s="16"/>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16"/>
      <c r="D226" s="16"/>
      <c r="E226" s="16"/>
      <c r="F226" s="16"/>
      <c r="G226" s="16"/>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16"/>
      <c r="D227" s="16"/>
      <c r="E227" s="16"/>
      <c r="F227" s="16"/>
      <c r="G227" s="16"/>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16"/>
      <c r="D228" s="16"/>
      <c r="E228" s="16"/>
      <c r="F228" s="16"/>
      <c r="G228" s="16"/>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16"/>
      <c r="D229" s="16"/>
      <c r="E229" s="16"/>
      <c r="F229" s="16"/>
      <c r="G229" s="16"/>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16"/>
      <c r="D230" s="16"/>
      <c r="E230" s="16"/>
      <c r="F230" s="16"/>
      <c r="G230" s="16"/>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16"/>
      <c r="D231" s="16"/>
      <c r="E231" s="16"/>
      <c r="F231" s="16"/>
      <c r="G231" s="16"/>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16"/>
      <c r="D232" s="16"/>
      <c r="E232" s="16"/>
      <c r="F232" s="16"/>
      <c r="G232" s="16"/>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16"/>
      <c r="D233" s="16"/>
      <c r="E233" s="16"/>
      <c r="F233" s="16"/>
      <c r="G233" s="16"/>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16"/>
      <c r="D234" s="16"/>
      <c r="E234" s="16"/>
      <c r="F234" s="16"/>
      <c r="G234" s="16"/>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16"/>
      <c r="D235" s="16"/>
      <c r="E235" s="16"/>
      <c r="F235" s="16"/>
      <c r="G235" s="16"/>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16"/>
      <c r="D236" s="16"/>
      <c r="E236" s="16"/>
      <c r="F236" s="16"/>
      <c r="G236" s="16"/>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16"/>
      <c r="D237" s="16"/>
      <c r="E237" s="16"/>
      <c r="F237" s="16"/>
      <c r="G237" s="16"/>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16"/>
      <c r="D238" s="16"/>
      <c r="E238" s="16"/>
      <c r="F238" s="16"/>
      <c r="G238" s="16"/>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16"/>
      <c r="D239" s="16"/>
      <c r="E239" s="16"/>
      <c r="F239" s="16"/>
      <c r="G239" s="16"/>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16"/>
      <c r="D240" s="16"/>
      <c r="E240" s="16"/>
      <c r="F240" s="16"/>
      <c r="G240" s="16"/>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16"/>
      <c r="D241" s="16"/>
      <c r="E241" s="16"/>
      <c r="F241" s="16"/>
      <c r="G241" s="16"/>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16"/>
      <c r="D242" s="16"/>
      <c r="E242" s="16"/>
      <c r="F242" s="16"/>
      <c r="G242" s="16"/>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16"/>
      <c r="D243" s="16"/>
      <c r="E243" s="16"/>
      <c r="F243" s="16"/>
      <c r="G243" s="16"/>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16"/>
      <c r="D244" s="16"/>
      <c r="E244" s="16"/>
      <c r="F244" s="16"/>
      <c r="G244" s="16"/>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16"/>
      <c r="D245" s="16"/>
      <c r="E245" s="16"/>
      <c r="F245" s="16"/>
      <c r="G245" s="16"/>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16"/>
      <c r="D246" s="16"/>
      <c r="E246" s="16"/>
      <c r="F246" s="16"/>
      <c r="G246" s="16"/>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16"/>
      <c r="D247" s="16"/>
      <c r="E247" s="16"/>
      <c r="F247" s="16"/>
      <c r="G247" s="16"/>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16"/>
      <c r="D248" s="16"/>
      <c r="E248" s="16"/>
      <c r="F248" s="16"/>
      <c r="G248" s="16"/>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16"/>
      <c r="D249" s="16"/>
      <c r="E249" s="16"/>
      <c r="F249" s="16"/>
      <c r="G249" s="16"/>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16"/>
      <c r="D250" s="16"/>
      <c r="E250" s="16"/>
      <c r="F250" s="16"/>
      <c r="G250" s="16"/>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16"/>
      <c r="D251" s="16"/>
      <c r="E251" s="16"/>
      <c r="F251" s="16"/>
      <c r="G251" s="16"/>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16"/>
      <c r="D252" s="16"/>
      <c r="E252" s="16"/>
      <c r="F252" s="16"/>
      <c r="G252" s="16"/>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16"/>
      <c r="D253" s="16"/>
      <c r="E253" s="16"/>
      <c r="F253" s="16"/>
      <c r="G253" s="16"/>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16"/>
      <c r="D254" s="16"/>
      <c r="E254" s="16"/>
      <c r="F254" s="16"/>
      <c r="G254" s="16"/>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16"/>
      <c r="D255" s="16"/>
      <c r="E255" s="16"/>
      <c r="F255" s="16"/>
      <c r="G255" s="16"/>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16"/>
      <c r="D256" s="16"/>
      <c r="E256" s="16"/>
      <c r="F256" s="16"/>
      <c r="G256" s="16"/>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16"/>
      <c r="D257" s="16"/>
      <c r="E257" s="16"/>
      <c r="F257" s="16"/>
      <c r="G257" s="16"/>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16"/>
      <c r="D258" s="16"/>
      <c r="E258" s="16"/>
      <c r="F258" s="16"/>
      <c r="G258" s="16"/>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16"/>
      <c r="D259" s="16"/>
      <c r="E259" s="16"/>
      <c r="F259" s="16"/>
      <c r="G259" s="16"/>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16"/>
      <c r="D260" s="16"/>
      <c r="E260" s="16"/>
      <c r="F260" s="16"/>
      <c r="G260" s="16"/>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16"/>
      <c r="D261" s="16"/>
      <c r="E261" s="16"/>
      <c r="F261" s="16"/>
      <c r="G261" s="16"/>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16"/>
      <c r="D262" s="16"/>
      <c r="E262" s="16"/>
      <c r="F262" s="16"/>
      <c r="G262" s="16"/>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16"/>
      <c r="D263" s="16"/>
      <c r="E263" s="16"/>
      <c r="F263" s="16"/>
      <c r="G263" s="16"/>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16"/>
      <c r="D264" s="16"/>
      <c r="E264" s="16"/>
      <c r="F264" s="16"/>
      <c r="G264" s="16"/>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16"/>
      <c r="D265" s="16"/>
      <c r="E265" s="16"/>
      <c r="F265" s="16"/>
      <c r="G265" s="16"/>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16"/>
      <c r="D266" s="16"/>
      <c r="E266" s="16"/>
      <c r="F266" s="16"/>
      <c r="G266" s="16"/>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16"/>
      <c r="D267" s="16"/>
      <c r="E267" s="16"/>
      <c r="F267" s="16"/>
      <c r="G267" s="16"/>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16"/>
      <c r="D268" s="16"/>
      <c r="E268" s="16"/>
      <c r="F268" s="16"/>
      <c r="G268" s="16"/>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16"/>
      <c r="D269" s="16"/>
      <c r="E269" s="16"/>
      <c r="F269" s="16"/>
      <c r="G269" s="16"/>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16"/>
      <c r="D270" s="16"/>
      <c r="E270" s="16"/>
      <c r="F270" s="16"/>
      <c r="G270" s="16"/>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16"/>
      <c r="D271" s="16"/>
      <c r="E271" s="16"/>
      <c r="F271" s="16"/>
      <c r="G271" s="16"/>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16"/>
      <c r="D272" s="16"/>
      <c r="E272" s="16"/>
      <c r="F272" s="16"/>
      <c r="G272" s="16"/>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16"/>
      <c r="D273" s="16"/>
      <c r="E273" s="16"/>
      <c r="F273" s="16"/>
      <c r="G273" s="16"/>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16"/>
      <c r="D274" s="16"/>
      <c r="E274" s="16"/>
      <c r="F274" s="16"/>
      <c r="G274" s="16"/>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16"/>
      <c r="D275" s="16"/>
      <c r="E275" s="16"/>
      <c r="F275" s="16"/>
      <c r="G275" s="16"/>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16"/>
      <c r="D276" s="16"/>
      <c r="E276" s="16"/>
      <c r="F276" s="16"/>
      <c r="G276" s="16"/>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16"/>
      <c r="D277" s="16"/>
      <c r="E277" s="16"/>
      <c r="F277" s="16"/>
      <c r="G277" s="16"/>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16"/>
      <c r="D278" s="16"/>
      <c r="E278" s="16"/>
      <c r="F278" s="16"/>
      <c r="G278" s="16"/>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16"/>
      <c r="D279" s="16"/>
      <c r="E279" s="16"/>
      <c r="F279" s="16"/>
      <c r="G279" s="16"/>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16"/>
      <c r="D280" s="16"/>
      <c r="E280" s="16"/>
      <c r="F280" s="16"/>
      <c r="G280" s="16"/>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16"/>
      <c r="D281" s="16"/>
      <c r="E281" s="16"/>
      <c r="F281" s="16"/>
      <c r="G281" s="16"/>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16"/>
      <c r="D282" s="16"/>
      <c r="E282" s="16"/>
      <c r="F282" s="16"/>
      <c r="G282" s="16"/>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16"/>
      <c r="D283" s="16"/>
      <c r="E283" s="16"/>
      <c r="F283" s="16"/>
      <c r="G283" s="16"/>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16"/>
      <c r="D284" s="16"/>
      <c r="E284" s="16"/>
      <c r="F284" s="16"/>
      <c r="G284" s="16"/>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16"/>
      <c r="D285" s="16"/>
      <c r="E285" s="16"/>
      <c r="F285" s="16"/>
      <c r="G285" s="16"/>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16"/>
      <c r="D286" s="16"/>
      <c r="E286" s="16"/>
      <c r="F286" s="16"/>
      <c r="G286" s="16"/>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16"/>
      <c r="D287" s="16"/>
      <c r="E287" s="16"/>
      <c r="F287" s="16"/>
      <c r="G287" s="16"/>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16"/>
      <c r="D288" s="16"/>
      <c r="E288" s="16"/>
      <c r="F288" s="16"/>
      <c r="G288" s="16"/>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16"/>
      <c r="D289" s="16"/>
      <c r="E289" s="16"/>
      <c r="F289" s="16"/>
      <c r="G289" s="16"/>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16"/>
      <c r="D290" s="16"/>
      <c r="E290" s="16"/>
      <c r="F290" s="16"/>
      <c r="G290" s="16"/>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16"/>
      <c r="D291" s="16"/>
      <c r="E291" s="16"/>
      <c r="F291" s="16"/>
      <c r="G291" s="16"/>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16"/>
      <c r="D292" s="16"/>
      <c r="E292" s="16"/>
      <c r="F292" s="16"/>
      <c r="G292" s="16"/>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16"/>
      <c r="D293" s="16"/>
      <c r="E293" s="16"/>
      <c r="F293" s="16"/>
      <c r="G293" s="16"/>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16"/>
      <c r="D294" s="16"/>
      <c r="E294" s="16"/>
      <c r="F294" s="16"/>
      <c r="G294" s="16"/>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16"/>
      <c r="D295" s="16"/>
      <c r="E295" s="16"/>
      <c r="F295" s="16"/>
      <c r="G295" s="16"/>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16"/>
      <c r="D296" s="16"/>
      <c r="E296" s="16"/>
      <c r="F296" s="16"/>
      <c r="G296" s="16"/>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16"/>
      <c r="D297" s="16"/>
      <c r="E297" s="16"/>
      <c r="F297" s="16"/>
      <c r="G297" s="16"/>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16"/>
      <c r="D298" s="16"/>
      <c r="E298" s="16"/>
      <c r="F298" s="16"/>
      <c r="G298" s="16"/>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16"/>
      <c r="D299" s="16"/>
      <c r="E299" s="16"/>
      <c r="F299" s="16"/>
      <c r="G299" s="16"/>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16"/>
      <c r="D300" s="16"/>
      <c r="E300" s="16"/>
      <c r="F300" s="16"/>
      <c r="G300" s="16"/>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16"/>
      <c r="D301" s="16"/>
      <c r="E301" s="16"/>
      <c r="F301" s="16"/>
      <c r="G301" s="16"/>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16"/>
      <c r="D302" s="16"/>
      <c r="E302" s="16"/>
      <c r="F302" s="16"/>
      <c r="G302" s="16"/>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16"/>
      <c r="D303" s="16"/>
      <c r="E303" s="16"/>
      <c r="F303" s="16"/>
      <c r="G303" s="16"/>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16"/>
      <c r="D304" s="16"/>
      <c r="E304" s="16"/>
      <c r="F304" s="16"/>
      <c r="G304" s="16"/>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16"/>
      <c r="D305" s="16"/>
      <c r="E305" s="16"/>
      <c r="F305" s="16"/>
      <c r="G305" s="16"/>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16"/>
      <c r="D306" s="16"/>
      <c r="E306" s="16"/>
      <c r="F306" s="16"/>
      <c r="G306" s="16"/>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16"/>
      <c r="D307" s="16"/>
      <c r="E307" s="16"/>
      <c r="F307" s="16"/>
      <c r="G307" s="16"/>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16"/>
      <c r="D308" s="16"/>
      <c r="E308" s="16"/>
      <c r="F308" s="16"/>
      <c r="G308" s="16"/>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16"/>
      <c r="D309" s="16"/>
      <c r="E309" s="16"/>
      <c r="F309" s="16"/>
      <c r="G309" s="16"/>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16"/>
      <c r="D310" s="16"/>
      <c r="E310" s="16"/>
      <c r="F310" s="16"/>
      <c r="G310" s="16"/>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16"/>
      <c r="D311" s="16"/>
      <c r="E311" s="16"/>
      <c r="F311" s="16"/>
      <c r="G311" s="16"/>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16"/>
      <c r="D312" s="16"/>
      <c r="E312" s="16"/>
      <c r="F312" s="16"/>
      <c r="G312" s="16"/>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16"/>
      <c r="D313" s="16"/>
      <c r="E313" s="16"/>
      <c r="F313" s="16"/>
      <c r="G313" s="16"/>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16"/>
      <c r="D314" s="16"/>
      <c r="E314" s="16"/>
      <c r="F314" s="16"/>
      <c r="G314" s="16"/>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16"/>
      <c r="D315" s="16"/>
      <c r="E315" s="16"/>
      <c r="F315" s="16"/>
      <c r="G315" s="16"/>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16"/>
      <c r="D316" s="16"/>
      <c r="E316" s="16"/>
      <c r="F316" s="16"/>
      <c r="G316" s="16"/>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16"/>
      <c r="D317" s="16"/>
      <c r="E317" s="16"/>
      <c r="F317" s="16"/>
      <c r="G317" s="16"/>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16"/>
      <c r="D318" s="16"/>
      <c r="E318" s="16"/>
      <c r="F318" s="16"/>
      <c r="G318" s="16"/>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16"/>
      <c r="D319" s="16"/>
      <c r="E319" s="16"/>
      <c r="F319" s="16"/>
      <c r="G319" s="16"/>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16"/>
      <c r="D320" s="16"/>
      <c r="E320" s="16"/>
      <c r="F320" s="16"/>
      <c r="G320" s="16"/>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16"/>
      <c r="D321" s="16"/>
      <c r="E321" s="16"/>
      <c r="F321" s="16"/>
      <c r="G321" s="16"/>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16"/>
      <c r="D322" s="16"/>
      <c r="E322" s="16"/>
      <c r="F322" s="16"/>
      <c r="G322" s="16"/>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16"/>
      <c r="D323" s="16"/>
      <c r="E323" s="16"/>
      <c r="F323" s="16"/>
      <c r="G323" s="16"/>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16"/>
      <c r="D324" s="16"/>
      <c r="E324" s="16"/>
      <c r="F324" s="16"/>
      <c r="G324" s="16"/>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16"/>
      <c r="D325" s="16"/>
      <c r="E325" s="16"/>
      <c r="F325" s="16"/>
      <c r="G325" s="16"/>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16"/>
      <c r="D326" s="16"/>
      <c r="E326" s="16"/>
      <c r="F326" s="16"/>
      <c r="G326" s="16"/>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16"/>
      <c r="D327" s="16"/>
      <c r="E327" s="16"/>
      <c r="F327" s="16"/>
      <c r="G327" s="16"/>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16"/>
      <c r="D328" s="16"/>
      <c r="E328" s="16"/>
      <c r="F328" s="16"/>
      <c r="G328" s="16"/>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16"/>
      <c r="D329" s="16"/>
      <c r="E329" s="16"/>
      <c r="F329" s="16"/>
      <c r="G329" s="16"/>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16"/>
      <c r="D330" s="16"/>
      <c r="E330" s="16"/>
      <c r="F330" s="16"/>
      <c r="G330" s="16"/>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16"/>
      <c r="D331" s="16"/>
      <c r="E331" s="16"/>
      <c r="F331" s="16"/>
      <c r="G331" s="16"/>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16"/>
      <c r="D332" s="16"/>
      <c r="E332" s="16"/>
      <c r="F332" s="16"/>
      <c r="G332" s="16"/>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16"/>
      <c r="D333" s="16"/>
      <c r="E333" s="16"/>
      <c r="F333" s="16"/>
      <c r="G333" s="16"/>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16"/>
      <c r="D334" s="16"/>
      <c r="E334" s="16"/>
      <c r="F334" s="16"/>
      <c r="G334" s="16"/>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16"/>
      <c r="D335" s="16"/>
      <c r="E335" s="16"/>
      <c r="F335" s="16"/>
      <c r="G335" s="16"/>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16"/>
      <c r="D336" s="16"/>
      <c r="E336" s="16"/>
      <c r="F336" s="16"/>
      <c r="G336" s="16"/>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16"/>
      <c r="D337" s="16"/>
      <c r="E337" s="16"/>
      <c r="F337" s="16"/>
      <c r="G337" s="16"/>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16"/>
      <c r="D338" s="16"/>
      <c r="E338" s="16"/>
      <c r="F338" s="16"/>
      <c r="G338" s="16"/>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16"/>
      <c r="D339" s="16"/>
      <c r="E339" s="16"/>
      <c r="F339" s="16"/>
      <c r="G339" s="16"/>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16"/>
      <c r="D340" s="16"/>
      <c r="E340" s="16"/>
      <c r="F340" s="16"/>
      <c r="G340" s="16"/>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16"/>
      <c r="D341" s="16"/>
      <c r="E341" s="16"/>
      <c r="F341" s="16"/>
      <c r="G341" s="16"/>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16"/>
      <c r="D342" s="16"/>
      <c r="E342" s="16"/>
      <c r="F342" s="16"/>
      <c r="G342" s="16"/>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16"/>
      <c r="D343" s="16"/>
      <c r="E343" s="16"/>
      <c r="F343" s="16"/>
      <c r="G343" s="16"/>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16"/>
      <c r="D344" s="16"/>
      <c r="E344" s="16"/>
      <c r="F344" s="16"/>
      <c r="G344" s="16"/>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16"/>
      <c r="D345" s="16"/>
      <c r="E345" s="16"/>
      <c r="F345" s="16"/>
      <c r="G345" s="16"/>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16"/>
      <c r="D346" s="16"/>
      <c r="E346" s="16"/>
      <c r="F346" s="16"/>
      <c r="G346" s="16"/>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16"/>
      <c r="D347" s="16"/>
      <c r="E347" s="16"/>
      <c r="F347" s="16"/>
      <c r="G347" s="16"/>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16"/>
      <c r="D348" s="16"/>
      <c r="E348" s="16"/>
      <c r="F348" s="16"/>
      <c r="G348" s="16"/>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16"/>
      <c r="D349" s="16"/>
      <c r="E349" s="16"/>
      <c r="F349" s="16"/>
      <c r="G349" s="16"/>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16"/>
      <c r="D350" s="16"/>
      <c r="E350" s="16"/>
      <c r="F350" s="16"/>
      <c r="G350" s="16"/>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16"/>
      <c r="D351" s="16"/>
      <c r="E351" s="16"/>
      <c r="F351" s="16"/>
      <c r="G351" s="16"/>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16"/>
      <c r="D352" s="16"/>
      <c r="E352" s="16"/>
      <c r="F352" s="16"/>
      <c r="G352" s="16"/>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16"/>
      <c r="D353" s="16"/>
      <c r="E353" s="16"/>
      <c r="F353" s="16"/>
      <c r="G353" s="16"/>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16"/>
      <c r="D354" s="16"/>
      <c r="E354" s="16"/>
      <c r="F354" s="16"/>
      <c r="G354" s="16"/>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16"/>
      <c r="D355" s="16"/>
      <c r="E355" s="16"/>
      <c r="F355" s="16"/>
      <c r="G355" s="16"/>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16"/>
      <c r="D356" s="16"/>
      <c r="E356" s="16"/>
      <c r="F356" s="16"/>
      <c r="G356" s="16"/>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16"/>
      <c r="D357" s="16"/>
      <c r="E357" s="16"/>
      <c r="F357" s="16"/>
      <c r="G357" s="16"/>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16"/>
      <c r="D358" s="16"/>
      <c r="E358" s="16"/>
      <c r="F358" s="16"/>
      <c r="G358" s="16"/>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16"/>
      <c r="D359" s="16"/>
      <c r="E359" s="16"/>
      <c r="F359" s="16"/>
      <c r="G359" s="16"/>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16"/>
      <c r="D360" s="16"/>
      <c r="E360" s="16"/>
      <c r="F360" s="16"/>
      <c r="G360" s="16"/>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16"/>
      <c r="D361" s="16"/>
      <c r="E361" s="16"/>
      <c r="F361" s="16"/>
      <c r="G361" s="16"/>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16"/>
      <c r="D362" s="16"/>
      <c r="E362" s="16"/>
      <c r="F362" s="16"/>
      <c r="G362" s="16"/>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16"/>
      <c r="D363" s="16"/>
      <c r="E363" s="16"/>
      <c r="F363" s="16"/>
      <c r="G363" s="16"/>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16"/>
      <c r="D364" s="16"/>
      <c r="E364" s="16"/>
      <c r="F364" s="16"/>
      <c r="G364" s="16"/>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16"/>
      <c r="D365" s="16"/>
      <c r="E365" s="16"/>
      <c r="F365" s="16"/>
      <c r="G365" s="16"/>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16"/>
      <c r="D366" s="16"/>
      <c r="E366" s="16"/>
      <c r="F366" s="16"/>
      <c r="G366" s="16"/>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16"/>
      <c r="D367" s="16"/>
      <c r="E367" s="16"/>
      <c r="F367" s="16"/>
      <c r="G367" s="16"/>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16"/>
      <c r="D368" s="16"/>
      <c r="E368" s="16"/>
      <c r="F368" s="16"/>
      <c r="G368" s="16"/>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16"/>
      <c r="D369" s="16"/>
      <c r="E369" s="16"/>
      <c r="F369" s="16"/>
      <c r="G369" s="16"/>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16"/>
      <c r="D370" s="16"/>
      <c r="E370" s="16"/>
      <c r="F370" s="16"/>
      <c r="G370" s="16"/>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16"/>
      <c r="D371" s="16"/>
      <c r="E371" s="16"/>
      <c r="F371" s="16"/>
      <c r="G371" s="16"/>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16"/>
      <c r="D372" s="16"/>
      <c r="E372" s="16"/>
      <c r="F372" s="16"/>
      <c r="G372" s="16"/>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16"/>
      <c r="D373" s="16"/>
      <c r="E373" s="16"/>
      <c r="F373" s="16"/>
      <c r="G373" s="16"/>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16"/>
      <c r="D374" s="16"/>
      <c r="E374" s="16"/>
      <c r="F374" s="16"/>
      <c r="G374" s="16"/>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16"/>
      <c r="D375" s="16"/>
      <c r="E375" s="16"/>
      <c r="F375" s="16"/>
      <c r="G375" s="16"/>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16"/>
      <c r="D376" s="16"/>
      <c r="E376" s="16"/>
      <c r="F376" s="16"/>
      <c r="G376" s="16"/>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16"/>
      <c r="D377" s="16"/>
      <c r="E377" s="16"/>
      <c r="F377" s="16"/>
      <c r="G377" s="16"/>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16"/>
      <c r="D378" s="16"/>
      <c r="E378" s="16"/>
      <c r="F378" s="16"/>
      <c r="G378" s="16"/>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16"/>
      <c r="D379" s="16"/>
      <c r="E379" s="16"/>
      <c r="F379" s="16"/>
      <c r="G379" s="16"/>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16"/>
      <c r="D380" s="16"/>
      <c r="E380" s="16"/>
      <c r="F380" s="16"/>
      <c r="G380" s="16"/>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16"/>
      <c r="D381" s="16"/>
      <c r="E381" s="16"/>
      <c r="F381" s="16"/>
      <c r="G381" s="16"/>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16"/>
      <c r="D382" s="16"/>
      <c r="E382" s="16"/>
      <c r="F382" s="16"/>
      <c r="G382" s="16"/>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16"/>
      <c r="D383" s="16"/>
      <c r="E383" s="16"/>
      <c r="F383" s="16"/>
      <c r="G383" s="16"/>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16"/>
      <c r="D384" s="16"/>
      <c r="E384" s="16"/>
      <c r="F384" s="16"/>
      <c r="G384" s="16"/>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16"/>
      <c r="D385" s="16"/>
      <c r="E385" s="16"/>
      <c r="F385" s="16"/>
      <c r="G385" s="16"/>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16"/>
      <c r="D386" s="16"/>
      <c r="E386" s="16"/>
      <c r="F386" s="16"/>
      <c r="G386" s="16"/>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16"/>
      <c r="D387" s="16"/>
      <c r="E387" s="16"/>
      <c r="F387" s="16"/>
      <c r="G387" s="16"/>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16"/>
      <c r="D388" s="16"/>
      <c r="E388" s="16"/>
      <c r="F388" s="16"/>
      <c r="G388" s="16"/>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16"/>
      <c r="D389" s="16"/>
      <c r="E389" s="16"/>
      <c r="F389" s="16"/>
      <c r="G389" s="16"/>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16"/>
      <c r="D390" s="16"/>
      <c r="E390" s="16"/>
      <c r="F390" s="16"/>
      <c r="G390" s="16"/>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16"/>
      <c r="D391" s="16"/>
      <c r="E391" s="16"/>
      <c r="F391" s="16"/>
      <c r="G391" s="16"/>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16"/>
      <c r="D392" s="16"/>
      <c r="E392" s="16"/>
      <c r="F392" s="16"/>
      <c r="G392" s="16"/>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16"/>
      <c r="D393" s="16"/>
      <c r="E393" s="16"/>
      <c r="F393" s="16"/>
      <c r="G393" s="16"/>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16"/>
      <c r="D394" s="16"/>
      <c r="E394" s="16"/>
      <c r="F394" s="16"/>
      <c r="G394" s="16"/>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16"/>
      <c r="D395" s="16"/>
      <c r="E395" s="16"/>
      <c r="F395" s="16"/>
      <c r="G395" s="16"/>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16"/>
      <c r="D396" s="16"/>
      <c r="E396" s="16"/>
      <c r="F396" s="16"/>
      <c r="G396" s="16"/>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16"/>
      <c r="D397" s="16"/>
      <c r="E397" s="16"/>
      <c r="F397" s="16"/>
      <c r="G397" s="16"/>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16"/>
      <c r="D398" s="16"/>
      <c r="E398" s="16"/>
      <c r="F398" s="16"/>
      <c r="G398" s="16"/>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16"/>
      <c r="D399" s="16"/>
      <c r="E399" s="16"/>
      <c r="F399" s="16"/>
      <c r="G399" s="16"/>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16"/>
      <c r="D400" s="16"/>
      <c r="E400" s="16"/>
      <c r="F400" s="16"/>
      <c r="G400" s="16"/>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16"/>
      <c r="D401" s="16"/>
      <c r="E401" s="16"/>
      <c r="F401" s="16"/>
      <c r="G401" s="16"/>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16"/>
      <c r="D402" s="16"/>
      <c r="E402" s="16"/>
      <c r="F402" s="16"/>
      <c r="G402" s="16"/>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16"/>
      <c r="D403" s="16"/>
      <c r="E403" s="16"/>
      <c r="F403" s="16"/>
      <c r="G403" s="16"/>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16"/>
      <c r="D404" s="16"/>
      <c r="E404" s="16"/>
      <c r="F404" s="16"/>
      <c r="G404" s="16"/>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16"/>
      <c r="D405" s="16"/>
      <c r="E405" s="16"/>
      <c r="F405" s="16"/>
      <c r="G405" s="16"/>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16"/>
      <c r="D406" s="16"/>
      <c r="E406" s="16"/>
      <c r="F406" s="16"/>
      <c r="G406" s="16"/>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16"/>
      <c r="D407" s="16"/>
      <c r="E407" s="16"/>
      <c r="F407" s="16"/>
      <c r="G407" s="16"/>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16"/>
      <c r="D408" s="16"/>
      <c r="E408" s="16"/>
      <c r="F408" s="16"/>
      <c r="G408" s="16"/>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16"/>
      <c r="D409" s="16"/>
      <c r="E409" s="16"/>
      <c r="F409" s="16"/>
      <c r="G409" s="16"/>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16"/>
      <c r="D410" s="16"/>
      <c r="E410" s="16"/>
      <c r="F410" s="16"/>
      <c r="G410" s="16"/>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16"/>
      <c r="D411" s="16"/>
      <c r="E411" s="16"/>
      <c r="F411" s="16"/>
      <c r="G411" s="16"/>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16"/>
      <c r="D412" s="16"/>
      <c r="E412" s="16"/>
      <c r="F412" s="16"/>
      <c r="G412" s="16"/>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16"/>
      <c r="D413" s="16"/>
      <c r="E413" s="16"/>
      <c r="F413" s="16"/>
      <c r="G413" s="16"/>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16"/>
      <c r="D414" s="16"/>
      <c r="E414" s="16"/>
      <c r="F414" s="16"/>
      <c r="G414" s="16"/>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16"/>
      <c r="D415" s="16"/>
      <c r="E415" s="16"/>
      <c r="F415" s="16"/>
      <c r="G415" s="16"/>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16"/>
      <c r="D416" s="16"/>
      <c r="E416" s="16"/>
      <c r="F416" s="16"/>
      <c r="G416" s="16"/>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16"/>
      <c r="D417" s="16"/>
      <c r="E417" s="16"/>
      <c r="F417" s="16"/>
      <c r="G417" s="16"/>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16"/>
      <c r="D418" s="16"/>
      <c r="E418" s="16"/>
      <c r="F418" s="16"/>
      <c r="G418" s="16"/>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16"/>
      <c r="D419" s="16"/>
      <c r="E419" s="16"/>
      <c r="F419" s="16"/>
      <c r="G419" s="16"/>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16"/>
      <c r="D420" s="16"/>
      <c r="E420" s="16"/>
      <c r="F420" s="16"/>
      <c r="G420" s="16"/>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16"/>
      <c r="D421" s="16"/>
      <c r="E421" s="16"/>
      <c r="F421" s="16"/>
      <c r="G421" s="16"/>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16"/>
      <c r="D422" s="16"/>
      <c r="E422" s="16"/>
      <c r="F422" s="16"/>
      <c r="G422" s="16"/>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16"/>
      <c r="D423" s="16"/>
      <c r="E423" s="16"/>
      <c r="F423" s="16"/>
      <c r="G423" s="16"/>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16"/>
      <c r="D424" s="16"/>
      <c r="E424" s="16"/>
      <c r="F424" s="16"/>
      <c r="G424" s="16"/>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16"/>
      <c r="D425" s="16"/>
      <c r="E425" s="16"/>
      <c r="F425" s="16"/>
      <c r="G425" s="16"/>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16"/>
      <c r="D426" s="16"/>
      <c r="E426" s="16"/>
      <c r="F426" s="16"/>
      <c r="G426" s="16"/>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16"/>
      <c r="D427" s="16"/>
      <c r="E427" s="16"/>
      <c r="F427" s="16"/>
      <c r="G427" s="16"/>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16"/>
      <c r="D428" s="16"/>
      <c r="E428" s="16"/>
      <c r="F428" s="16"/>
      <c r="G428" s="16"/>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16"/>
      <c r="D429" s="16"/>
      <c r="E429" s="16"/>
      <c r="F429" s="16"/>
      <c r="G429" s="16"/>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16"/>
      <c r="D430" s="16"/>
      <c r="E430" s="16"/>
      <c r="F430" s="16"/>
      <c r="G430" s="16"/>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16"/>
      <c r="D431" s="16"/>
      <c r="E431" s="16"/>
      <c r="F431" s="16"/>
      <c r="G431" s="16"/>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16"/>
      <c r="D432" s="16"/>
      <c r="E432" s="16"/>
      <c r="F432" s="16"/>
      <c r="G432" s="16"/>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16"/>
      <c r="D433" s="16"/>
      <c r="E433" s="16"/>
      <c r="F433" s="16"/>
      <c r="G433" s="16"/>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16"/>
      <c r="D434" s="16"/>
      <c r="E434" s="16"/>
      <c r="F434" s="16"/>
      <c r="G434" s="16"/>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16"/>
      <c r="D435" s="16"/>
      <c r="E435" s="16"/>
      <c r="F435" s="16"/>
      <c r="G435" s="16"/>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16"/>
      <c r="D436" s="16"/>
      <c r="E436" s="16"/>
      <c r="F436" s="16"/>
      <c r="G436" s="16"/>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16"/>
      <c r="D437" s="16"/>
      <c r="E437" s="16"/>
      <c r="F437" s="16"/>
      <c r="G437" s="16"/>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16"/>
      <c r="D438" s="16"/>
      <c r="E438" s="16"/>
      <c r="F438" s="16"/>
      <c r="G438" s="16"/>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16"/>
      <c r="D439" s="16"/>
      <c r="E439" s="16"/>
      <c r="F439" s="16"/>
      <c r="G439" s="16"/>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16"/>
      <c r="D440" s="16"/>
      <c r="E440" s="16"/>
      <c r="F440" s="16"/>
      <c r="G440" s="16"/>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16"/>
      <c r="D441" s="16"/>
      <c r="E441" s="16"/>
      <c r="F441" s="16"/>
      <c r="G441" s="16"/>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16"/>
      <c r="D442" s="16"/>
      <c r="E442" s="16"/>
      <c r="F442" s="16"/>
      <c r="G442" s="16"/>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16"/>
      <c r="D443" s="16"/>
      <c r="E443" s="16"/>
      <c r="F443" s="16"/>
      <c r="G443" s="16"/>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16"/>
      <c r="D444" s="16"/>
      <c r="E444" s="16"/>
      <c r="F444" s="16"/>
      <c r="G444" s="16"/>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16"/>
      <c r="D445" s="16"/>
      <c r="E445" s="16"/>
      <c r="F445" s="16"/>
      <c r="G445" s="16"/>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16"/>
      <c r="D446" s="16"/>
      <c r="E446" s="16"/>
      <c r="F446" s="16"/>
      <c r="G446" s="16"/>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16"/>
      <c r="D447" s="16"/>
      <c r="E447" s="16"/>
      <c r="F447" s="16"/>
      <c r="G447" s="16"/>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16"/>
      <c r="D448" s="16"/>
      <c r="E448" s="16"/>
      <c r="F448" s="16"/>
      <c r="G448" s="16"/>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16"/>
      <c r="D449" s="16"/>
      <c r="E449" s="16"/>
      <c r="F449" s="16"/>
      <c r="G449" s="16"/>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16"/>
      <c r="D450" s="16"/>
      <c r="E450" s="16"/>
      <c r="F450" s="16"/>
      <c r="G450" s="16"/>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16"/>
      <c r="D451" s="16"/>
      <c r="E451" s="16"/>
      <c r="F451" s="16"/>
      <c r="G451" s="16"/>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16"/>
      <c r="D452" s="16"/>
      <c r="E452" s="16"/>
      <c r="F452" s="16"/>
      <c r="G452" s="16"/>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16"/>
      <c r="D453" s="16"/>
      <c r="E453" s="16"/>
      <c r="F453" s="16"/>
      <c r="G453" s="16"/>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16"/>
      <c r="D454" s="16"/>
      <c r="E454" s="16"/>
      <c r="F454" s="16"/>
      <c r="G454" s="16"/>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16"/>
      <c r="D455" s="16"/>
      <c r="E455" s="16"/>
      <c r="F455" s="16"/>
      <c r="G455" s="16"/>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16"/>
      <c r="D456" s="16"/>
      <c r="E456" s="16"/>
      <c r="F456" s="16"/>
      <c r="G456" s="16"/>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16"/>
      <c r="D457" s="16"/>
      <c r="E457" s="16"/>
      <c r="F457" s="16"/>
      <c r="G457" s="16"/>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16"/>
      <c r="D458" s="16"/>
      <c r="E458" s="16"/>
      <c r="F458" s="16"/>
      <c r="G458" s="16"/>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16"/>
      <c r="D459" s="16"/>
      <c r="E459" s="16"/>
      <c r="F459" s="16"/>
      <c r="G459" s="16"/>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16"/>
      <c r="D460" s="16"/>
      <c r="E460" s="16"/>
      <c r="F460" s="16"/>
      <c r="G460" s="16"/>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16"/>
      <c r="D461" s="16"/>
      <c r="E461" s="16"/>
      <c r="F461" s="16"/>
      <c r="G461" s="16"/>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16"/>
      <c r="D462" s="16"/>
      <c r="E462" s="16"/>
      <c r="F462" s="16"/>
      <c r="G462" s="16"/>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16"/>
      <c r="D463" s="16"/>
      <c r="E463" s="16"/>
      <c r="F463" s="16"/>
      <c r="G463" s="16"/>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16"/>
      <c r="D464" s="16"/>
      <c r="E464" s="16"/>
      <c r="F464" s="16"/>
      <c r="G464" s="16"/>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16"/>
      <c r="D465" s="16"/>
      <c r="E465" s="16"/>
      <c r="F465" s="16"/>
      <c r="G465" s="16"/>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16"/>
      <c r="D466" s="16"/>
      <c r="E466" s="16"/>
      <c r="F466" s="16"/>
      <c r="G466" s="16"/>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16"/>
      <c r="D467" s="16"/>
      <c r="E467" s="16"/>
      <c r="F467" s="16"/>
      <c r="G467" s="16"/>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16"/>
      <c r="D468" s="16"/>
      <c r="E468" s="16"/>
      <c r="F468" s="16"/>
      <c r="G468" s="16"/>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16"/>
      <c r="D469" s="16"/>
      <c r="E469" s="16"/>
      <c r="F469" s="16"/>
      <c r="G469" s="16"/>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16"/>
      <c r="D470" s="16"/>
      <c r="E470" s="16"/>
      <c r="F470" s="16"/>
      <c r="G470" s="16"/>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16"/>
      <c r="D471" s="16"/>
      <c r="E471" s="16"/>
      <c r="F471" s="16"/>
      <c r="G471" s="16"/>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16"/>
      <c r="D472" s="16"/>
      <c r="E472" s="16"/>
      <c r="F472" s="16"/>
      <c r="G472" s="16"/>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16"/>
      <c r="D473" s="16"/>
      <c r="E473" s="16"/>
      <c r="F473" s="16"/>
      <c r="G473" s="16"/>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16"/>
      <c r="D474" s="16"/>
      <c r="E474" s="16"/>
      <c r="F474" s="16"/>
      <c r="G474" s="16"/>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16"/>
      <c r="D475" s="16"/>
      <c r="E475" s="16"/>
      <c r="F475" s="16"/>
      <c r="G475" s="16"/>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16"/>
      <c r="D476" s="16"/>
      <c r="E476" s="16"/>
      <c r="F476" s="16"/>
      <c r="G476" s="16"/>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16"/>
      <c r="D477" s="16"/>
      <c r="E477" s="16"/>
      <c r="F477" s="16"/>
      <c r="G477" s="16"/>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16"/>
      <c r="D478" s="16"/>
      <c r="E478" s="16"/>
      <c r="F478" s="16"/>
      <c r="G478" s="16"/>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16"/>
      <c r="D479" s="16"/>
      <c r="E479" s="16"/>
      <c r="F479" s="16"/>
      <c r="G479" s="16"/>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16"/>
      <c r="D480" s="16"/>
      <c r="E480" s="16"/>
      <c r="F480" s="16"/>
      <c r="G480" s="16"/>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16"/>
      <c r="D481" s="16"/>
      <c r="E481" s="16"/>
      <c r="F481" s="16"/>
      <c r="G481" s="16"/>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16"/>
      <c r="D482" s="16"/>
      <c r="E482" s="16"/>
      <c r="F482" s="16"/>
      <c r="G482" s="16"/>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16"/>
      <c r="D483" s="16"/>
      <c r="E483" s="16"/>
      <c r="F483" s="16"/>
      <c r="G483" s="16"/>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16"/>
      <c r="D484" s="16"/>
      <c r="E484" s="16"/>
      <c r="F484" s="16"/>
      <c r="G484" s="16"/>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16"/>
      <c r="D485" s="16"/>
      <c r="E485" s="16"/>
      <c r="F485" s="16"/>
      <c r="G485" s="16"/>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16"/>
      <c r="D486" s="16"/>
      <c r="E486" s="16"/>
      <c r="F486" s="16"/>
      <c r="G486" s="16"/>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16"/>
      <c r="D487" s="16"/>
      <c r="E487" s="16"/>
      <c r="F487" s="16"/>
      <c r="G487" s="16"/>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16"/>
      <c r="D488" s="16"/>
      <c r="E488" s="16"/>
      <c r="F488" s="16"/>
      <c r="G488" s="16"/>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16"/>
      <c r="D489" s="16"/>
      <c r="E489" s="16"/>
      <c r="F489" s="16"/>
      <c r="G489" s="16"/>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16"/>
      <c r="D490" s="16"/>
      <c r="E490" s="16"/>
      <c r="F490" s="16"/>
      <c r="G490" s="16"/>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16"/>
      <c r="D491" s="16"/>
      <c r="E491" s="16"/>
      <c r="F491" s="16"/>
      <c r="G491" s="16"/>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16"/>
      <c r="D492" s="16"/>
      <c r="E492" s="16"/>
      <c r="F492" s="16"/>
      <c r="G492" s="16"/>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16"/>
      <c r="D493" s="16"/>
      <c r="E493" s="16"/>
      <c r="F493" s="16"/>
      <c r="G493" s="16"/>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16"/>
      <c r="D494" s="16"/>
      <c r="E494" s="16"/>
      <c r="F494" s="16"/>
      <c r="G494" s="16"/>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16"/>
      <c r="D495" s="16"/>
      <c r="E495" s="16"/>
      <c r="F495" s="16"/>
      <c r="G495" s="16"/>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16"/>
      <c r="D496" s="16"/>
      <c r="E496" s="16"/>
      <c r="F496" s="16"/>
      <c r="G496" s="16"/>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16"/>
      <c r="D497" s="16"/>
      <c r="E497" s="16"/>
      <c r="F497" s="16"/>
      <c r="G497" s="16"/>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16"/>
      <c r="D498" s="16"/>
      <c r="E498" s="16"/>
      <c r="F498" s="16"/>
      <c r="G498" s="16"/>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16"/>
      <c r="D499" s="16"/>
      <c r="E499" s="16"/>
      <c r="F499" s="16"/>
      <c r="G499" s="16"/>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16"/>
      <c r="D500" s="16"/>
      <c r="E500" s="16"/>
      <c r="F500" s="16"/>
      <c r="G500" s="16"/>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16"/>
      <c r="D501" s="16"/>
      <c r="E501" s="16"/>
      <c r="F501" s="16"/>
      <c r="G501" s="16"/>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16"/>
      <c r="D502" s="16"/>
      <c r="E502" s="16"/>
      <c r="F502" s="16"/>
      <c r="G502" s="16"/>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16"/>
      <c r="D503" s="16"/>
      <c r="E503" s="16"/>
      <c r="F503" s="16"/>
      <c r="G503" s="16"/>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16"/>
      <c r="D504" s="16"/>
      <c r="E504" s="16"/>
      <c r="F504" s="16"/>
      <c r="G504" s="16"/>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16"/>
      <c r="D505" s="16"/>
      <c r="E505" s="16"/>
      <c r="F505" s="16"/>
      <c r="G505" s="16"/>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16"/>
      <c r="D506" s="16"/>
      <c r="E506" s="16"/>
      <c r="F506" s="16"/>
      <c r="G506" s="16"/>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16"/>
      <c r="D507" s="16"/>
      <c r="E507" s="16"/>
      <c r="F507" s="16"/>
      <c r="G507" s="16"/>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16"/>
      <c r="D508" s="16"/>
      <c r="E508" s="16"/>
      <c r="F508" s="16"/>
      <c r="G508" s="16"/>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16"/>
      <c r="D509" s="16"/>
      <c r="E509" s="16"/>
      <c r="F509" s="16"/>
      <c r="G509" s="16"/>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16"/>
      <c r="D510" s="16"/>
      <c r="E510" s="16"/>
      <c r="F510" s="16"/>
      <c r="G510" s="16"/>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16"/>
      <c r="D511" s="16"/>
      <c r="E511" s="16"/>
      <c r="F511" s="16"/>
      <c r="G511" s="16"/>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16"/>
      <c r="D512" s="16"/>
      <c r="E512" s="16"/>
      <c r="F512" s="16"/>
      <c r="G512" s="16"/>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16"/>
      <c r="D513" s="16"/>
      <c r="E513" s="16"/>
      <c r="F513" s="16"/>
      <c r="G513" s="16"/>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16"/>
      <c r="D514" s="16"/>
      <c r="E514" s="16"/>
      <c r="F514" s="16"/>
      <c r="G514" s="16"/>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16"/>
      <c r="D515" s="16"/>
      <c r="E515" s="16"/>
      <c r="F515" s="16"/>
      <c r="G515" s="16"/>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16"/>
      <c r="D516" s="16"/>
      <c r="E516" s="16"/>
      <c r="F516" s="16"/>
      <c r="G516" s="16"/>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16"/>
      <c r="D517" s="16"/>
      <c r="E517" s="16"/>
      <c r="F517" s="16"/>
      <c r="G517" s="16"/>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16"/>
      <c r="D518" s="16"/>
      <c r="E518" s="16"/>
      <c r="F518" s="16"/>
      <c r="G518" s="16"/>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16"/>
      <c r="D519" s="16"/>
      <c r="E519" s="16"/>
      <c r="F519" s="16"/>
      <c r="G519" s="16"/>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16"/>
      <c r="D520" s="16"/>
      <c r="E520" s="16"/>
      <c r="F520" s="16"/>
      <c r="G520" s="16"/>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16"/>
      <c r="D521" s="16"/>
      <c r="E521" s="16"/>
      <c r="F521" s="16"/>
      <c r="G521" s="16"/>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16"/>
      <c r="D522" s="16"/>
      <c r="E522" s="16"/>
      <c r="F522" s="16"/>
      <c r="G522" s="16"/>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16"/>
      <c r="D523" s="16"/>
      <c r="E523" s="16"/>
      <c r="F523" s="16"/>
      <c r="G523" s="16"/>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16"/>
      <c r="D524" s="16"/>
      <c r="E524" s="16"/>
      <c r="F524" s="16"/>
      <c r="G524" s="16"/>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16"/>
      <c r="D525" s="16"/>
      <c r="E525" s="16"/>
      <c r="F525" s="16"/>
      <c r="G525" s="16"/>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16"/>
      <c r="D526" s="16"/>
      <c r="E526" s="16"/>
      <c r="F526" s="16"/>
      <c r="G526" s="16"/>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16"/>
      <c r="D527" s="16"/>
      <c r="E527" s="16"/>
      <c r="F527" s="16"/>
      <c r="G527" s="16"/>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16"/>
      <c r="D528" s="16"/>
      <c r="E528" s="16"/>
      <c r="F528" s="16"/>
      <c r="G528" s="16"/>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16"/>
      <c r="D529" s="16"/>
      <c r="E529" s="16"/>
      <c r="F529" s="16"/>
      <c r="G529" s="16"/>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16"/>
      <c r="D530" s="16"/>
      <c r="E530" s="16"/>
      <c r="F530" s="16"/>
      <c r="G530" s="16"/>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16"/>
      <c r="D531" s="16"/>
      <c r="E531" s="16"/>
      <c r="F531" s="16"/>
      <c r="G531" s="16"/>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16"/>
      <c r="D532" s="16"/>
      <c r="E532" s="16"/>
      <c r="F532" s="16"/>
      <c r="G532" s="16"/>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16"/>
      <c r="D533" s="16"/>
      <c r="E533" s="16"/>
      <c r="F533" s="16"/>
      <c r="G533" s="16"/>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16"/>
      <c r="D534" s="16"/>
      <c r="E534" s="16"/>
      <c r="F534" s="16"/>
      <c r="G534" s="16"/>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16"/>
      <c r="D535" s="16"/>
      <c r="E535" s="16"/>
      <c r="F535" s="16"/>
      <c r="G535" s="16"/>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16"/>
      <c r="D536" s="16"/>
      <c r="E536" s="16"/>
      <c r="F536" s="16"/>
      <c r="G536" s="16"/>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16"/>
      <c r="D537" s="16"/>
      <c r="E537" s="16"/>
      <c r="F537" s="16"/>
      <c r="G537" s="16"/>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16"/>
      <c r="D538" s="16"/>
      <c r="E538" s="16"/>
      <c r="F538" s="16"/>
      <c r="G538" s="16"/>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16"/>
      <c r="D539" s="16"/>
      <c r="E539" s="16"/>
      <c r="F539" s="16"/>
      <c r="G539" s="16"/>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16"/>
      <c r="D540" s="16"/>
      <c r="E540" s="16"/>
      <c r="F540" s="16"/>
      <c r="G540" s="16"/>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16"/>
      <c r="D541" s="16"/>
      <c r="E541" s="16"/>
      <c r="F541" s="16"/>
      <c r="G541" s="16"/>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16"/>
      <c r="D542" s="16"/>
      <c r="E542" s="16"/>
      <c r="F542" s="16"/>
      <c r="G542" s="16"/>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16"/>
      <c r="D543" s="16"/>
      <c r="E543" s="16"/>
      <c r="F543" s="16"/>
      <c r="G543" s="16"/>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16"/>
      <c r="D544" s="16"/>
      <c r="E544" s="16"/>
      <c r="F544" s="16"/>
      <c r="G544" s="16"/>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16"/>
      <c r="D545" s="16"/>
      <c r="E545" s="16"/>
      <c r="F545" s="16"/>
      <c r="G545" s="16"/>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16"/>
      <c r="D546" s="16"/>
      <c r="E546" s="16"/>
      <c r="F546" s="16"/>
      <c r="G546" s="16"/>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16"/>
      <c r="D547" s="16"/>
      <c r="E547" s="16"/>
      <c r="F547" s="16"/>
      <c r="G547" s="16"/>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16"/>
      <c r="D548" s="16"/>
      <c r="E548" s="16"/>
      <c r="F548" s="16"/>
      <c r="G548" s="16"/>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16"/>
      <c r="D549" s="16"/>
      <c r="E549" s="16"/>
      <c r="F549" s="16"/>
      <c r="G549" s="16"/>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16"/>
      <c r="D550" s="16"/>
      <c r="E550" s="16"/>
      <c r="F550" s="16"/>
      <c r="G550" s="16"/>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16"/>
      <c r="D551" s="16"/>
      <c r="E551" s="16"/>
      <c r="F551" s="16"/>
      <c r="G551" s="16"/>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16"/>
      <c r="D552" s="16"/>
      <c r="E552" s="16"/>
      <c r="F552" s="16"/>
      <c r="G552" s="16"/>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16"/>
      <c r="D553" s="16"/>
      <c r="E553" s="16"/>
      <c r="F553" s="16"/>
      <c r="G553" s="16"/>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16"/>
      <c r="D554" s="16"/>
      <c r="E554" s="16"/>
      <c r="F554" s="16"/>
      <c r="G554" s="16"/>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16"/>
      <c r="D555" s="16"/>
      <c r="E555" s="16"/>
      <c r="F555" s="16"/>
      <c r="G555" s="16"/>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16"/>
      <c r="D556" s="16"/>
      <c r="E556" s="16"/>
      <c r="F556" s="16"/>
      <c r="G556" s="16"/>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16"/>
      <c r="D557" s="16"/>
      <c r="E557" s="16"/>
      <c r="F557" s="16"/>
      <c r="G557" s="16"/>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16"/>
      <c r="D558" s="16"/>
      <c r="E558" s="16"/>
      <c r="F558" s="16"/>
      <c r="G558" s="16"/>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16"/>
      <c r="D559" s="16"/>
      <c r="E559" s="16"/>
      <c r="F559" s="16"/>
      <c r="G559" s="16"/>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16"/>
      <c r="D560" s="16"/>
      <c r="E560" s="16"/>
      <c r="F560" s="16"/>
      <c r="G560" s="16"/>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16"/>
      <c r="D561" s="16"/>
      <c r="E561" s="16"/>
      <c r="F561" s="16"/>
      <c r="G561" s="16"/>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16"/>
      <c r="D562" s="16"/>
      <c r="E562" s="16"/>
      <c r="F562" s="16"/>
      <c r="G562" s="16"/>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16"/>
      <c r="D563" s="16"/>
      <c r="E563" s="16"/>
      <c r="F563" s="16"/>
      <c r="G563" s="16"/>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16"/>
      <c r="D564" s="16"/>
      <c r="E564" s="16"/>
      <c r="F564" s="16"/>
      <c r="G564" s="16"/>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16"/>
      <c r="D565" s="16"/>
      <c r="E565" s="16"/>
      <c r="F565" s="16"/>
      <c r="G565" s="16"/>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16"/>
      <c r="D566" s="16"/>
      <c r="E566" s="16"/>
      <c r="F566" s="16"/>
      <c r="G566" s="16"/>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16"/>
      <c r="D567" s="16"/>
      <c r="E567" s="16"/>
      <c r="F567" s="16"/>
      <c r="G567" s="16"/>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16"/>
      <c r="D568" s="16"/>
      <c r="E568" s="16"/>
      <c r="F568" s="16"/>
      <c r="G568" s="16"/>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16"/>
      <c r="D569" s="16"/>
      <c r="E569" s="16"/>
      <c r="F569" s="16"/>
      <c r="G569" s="16"/>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16"/>
      <c r="D570" s="16"/>
      <c r="E570" s="16"/>
      <c r="F570" s="16"/>
      <c r="G570" s="16"/>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16"/>
      <c r="D571" s="16"/>
      <c r="E571" s="16"/>
      <c r="F571" s="16"/>
      <c r="G571" s="16"/>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16"/>
      <c r="D572" s="16"/>
      <c r="E572" s="16"/>
      <c r="F572" s="16"/>
      <c r="G572" s="16"/>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16"/>
      <c r="D573" s="16"/>
      <c r="E573" s="16"/>
      <c r="F573" s="16"/>
      <c r="G573" s="16"/>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16"/>
      <c r="D574" s="16"/>
      <c r="E574" s="16"/>
      <c r="F574" s="16"/>
      <c r="G574" s="16"/>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16"/>
      <c r="D575" s="16"/>
      <c r="E575" s="16"/>
      <c r="F575" s="16"/>
      <c r="G575" s="16"/>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16"/>
      <c r="D576" s="16"/>
      <c r="E576" s="16"/>
      <c r="F576" s="16"/>
      <c r="G576" s="16"/>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16"/>
      <c r="D577" s="16"/>
      <c r="E577" s="16"/>
      <c r="F577" s="16"/>
      <c r="G577" s="16"/>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16"/>
      <c r="D578" s="16"/>
      <c r="E578" s="16"/>
      <c r="F578" s="16"/>
      <c r="G578" s="16"/>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16"/>
      <c r="D579" s="16"/>
      <c r="E579" s="16"/>
      <c r="F579" s="16"/>
      <c r="G579" s="16"/>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16"/>
      <c r="D580" s="16"/>
      <c r="E580" s="16"/>
      <c r="F580" s="16"/>
      <c r="G580" s="16"/>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16"/>
      <c r="D581" s="16"/>
      <c r="E581" s="16"/>
      <c r="F581" s="16"/>
      <c r="G581" s="16"/>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16"/>
      <c r="D582" s="16"/>
      <c r="E582" s="16"/>
      <c r="F582" s="16"/>
      <c r="G582" s="16"/>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16"/>
      <c r="D583" s="16"/>
      <c r="E583" s="16"/>
      <c r="F583" s="16"/>
      <c r="G583" s="16"/>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16"/>
      <c r="D584" s="16"/>
      <c r="E584" s="16"/>
      <c r="F584" s="16"/>
      <c r="G584" s="16"/>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16"/>
      <c r="D585" s="16"/>
      <c r="E585" s="16"/>
      <c r="F585" s="16"/>
      <c r="G585" s="16"/>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16"/>
      <c r="D586" s="16"/>
      <c r="E586" s="16"/>
      <c r="F586" s="16"/>
      <c r="G586" s="16"/>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16"/>
      <c r="D587" s="16"/>
      <c r="E587" s="16"/>
      <c r="F587" s="16"/>
      <c r="G587" s="16"/>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16"/>
      <c r="D588" s="16"/>
      <c r="E588" s="16"/>
      <c r="F588" s="16"/>
      <c r="G588" s="16"/>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16"/>
      <c r="D589" s="16"/>
      <c r="E589" s="16"/>
      <c r="F589" s="16"/>
      <c r="G589" s="16"/>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16"/>
      <c r="D590" s="16"/>
      <c r="E590" s="16"/>
      <c r="F590" s="16"/>
      <c r="G590" s="16"/>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16"/>
      <c r="D591" s="16"/>
      <c r="E591" s="16"/>
      <c r="F591" s="16"/>
      <c r="G591" s="16"/>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16"/>
      <c r="D592" s="16"/>
      <c r="E592" s="16"/>
      <c r="F592" s="16"/>
      <c r="G592" s="16"/>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16"/>
      <c r="D593" s="16"/>
      <c r="E593" s="16"/>
      <c r="F593" s="16"/>
      <c r="G593" s="16"/>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16"/>
      <c r="D594" s="16"/>
      <c r="E594" s="16"/>
      <c r="F594" s="16"/>
      <c r="G594" s="16"/>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16"/>
      <c r="D595" s="16"/>
      <c r="E595" s="16"/>
      <c r="F595" s="16"/>
      <c r="G595" s="16"/>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16"/>
      <c r="D596" s="16"/>
      <c r="E596" s="16"/>
      <c r="F596" s="16"/>
      <c r="G596" s="16"/>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16"/>
      <c r="D597" s="16"/>
      <c r="E597" s="16"/>
      <c r="F597" s="16"/>
      <c r="G597" s="16"/>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16"/>
      <c r="D598" s="16"/>
      <c r="E598" s="16"/>
      <c r="F598" s="16"/>
      <c r="G598" s="16"/>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16"/>
      <c r="D599" s="16"/>
      <c r="E599" s="16"/>
      <c r="F599" s="16"/>
      <c r="G599" s="16"/>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16"/>
      <c r="D600" s="16"/>
      <c r="E600" s="16"/>
      <c r="F600" s="16"/>
      <c r="G600" s="16"/>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16"/>
      <c r="D601" s="16"/>
      <c r="E601" s="16"/>
      <c r="F601" s="16"/>
      <c r="G601" s="16"/>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16"/>
      <c r="D602" s="16"/>
      <c r="E602" s="16"/>
      <c r="F602" s="16"/>
      <c r="G602" s="16"/>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16"/>
      <c r="D603" s="16"/>
      <c r="E603" s="16"/>
      <c r="F603" s="16"/>
      <c r="G603" s="16"/>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16"/>
      <c r="D604" s="16"/>
      <c r="E604" s="16"/>
      <c r="F604" s="16"/>
      <c r="G604" s="16"/>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16"/>
      <c r="D605" s="16"/>
      <c r="E605" s="16"/>
      <c r="F605" s="16"/>
      <c r="G605" s="16"/>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16"/>
      <c r="D606" s="16"/>
      <c r="E606" s="16"/>
      <c r="F606" s="16"/>
      <c r="G606" s="16"/>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16"/>
      <c r="D607" s="16"/>
      <c r="E607" s="16"/>
      <c r="F607" s="16"/>
      <c r="G607" s="16"/>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16"/>
      <c r="D608" s="16"/>
      <c r="E608" s="16"/>
      <c r="F608" s="16"/>
      <c r="G608" s="16"/>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16"/>
      <c r="D609" s="16"/>
      <c r="E609" s="16"/>
      <c r="F609" s="16"/>
      <c r="G609" s="16"/>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16"/>
      <c r="D610" s="16"/>
      <c r="E610" s="16"/>
      <c r="F610" s="16"/>
      <c r="G610" s="16"/>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16"/>
      <c r="D611" s="16"/>
      <c r="E611" s="16"/>
      <c r="F611" s="16"/>
      <c r="G611" s="16"/>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16"/>
      <c r="D612" s="16"/>
      <c r="E612" s="16"/>
      <c r="F612" s="16"/>
      <c r="G612" s="16"/>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16"/>
      <c r="D613" s="16"/>
      <c r="E613" s="16"/>
      <c r="F613" s="16"/>
      <c r="G613" s="16"/>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16"/>
      <c r="D614" s="16"/>
      <c r="E614" s="16"/>
      <c r="F614" s="16"/>
      <c r="G614" s="16"/>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16"/>
      <c r="D615" s="16"/>
      <c r="E615" s="16"/>
      <c r="F615" s="16"/>
      <c r="G615" s="16"/>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16"/>
      <c r="D616" s="16"/>
      <c r="E616" s="16"/>
      <c r="F616" s="16"/>
      <c r="G616" s="16"/>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16"/>
      <c r="D617" s="16"/>
      <c r="E617" s="16"/>
      <c r="F617" s="16"/>
      <c r="G617" s="16"/>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16"/>
      <c r="D618" s="16"/>
      <c r="E618" s="16"/>
      <c r="F618" s="16"/>
      <c r="G618" s="16"/>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16"/>
      <c r="D619" s="16"/>
      <c r="E619" s="16"/>
      <c r="F619" s="16"/>
      <c r="G619" s="16"/>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16"/>
      <c r="D620" s="16"/>
      <c r="E620" s="16"/>
      <c r="F620" s="16"/>
      <c r="G620" s="16"/>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16"/>
      <c r="D621" s="16"/>
      <c r="E621" s="16"/>
      <c r="F621" s="16"/>
      <c r="G621" s="16"/>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16"/>
      <c r="D622" s="16"/>
      <c r="E622" s="16"/>
      <c r="F622" s="16"/>
      <c r="G622" s="16"/>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16"/>
      <c r="D623" s="16"/>
      <c r="E623" s="16"/>
      <c r="F623" s="16"/>
      <c r="G623" s="16"/>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16"/>
      <c r="D624" s="16"/>
      <c r="E624" s="16"/>
      <c r="F624" s="16"/>
      <c r="G624" s="16"/>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16"/>
      <c r="D625" s="16"/>
      <c r="E625" s="16"/>
      <c r="F625" s="16"/>
      <c r="G625" s="16"/>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16"/>
      <c r="D626" s="16"/>
      <c r="E626" s="16"/>
      <c r="F626" s="16"/>
      <c r="G626" s="16"/>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16"/>
      <c r="D627" s="16"/>
      <c r="E627" s="16"/>
      <c r="F627" s="16"/>
      <c r="G627" s="16"/>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16"/>
      <c r="D628" s="16"/>
      <c r="E628" s="16"/>
      <c r="F628" s="16"/>
      <c r="G628" s="16"/>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16"/>
      <c r="D629" s="16"/>
      <c r="E629" s="16"/>
      <c r="F629" s="16"/>
      <c r="G629" s="16"/>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16"/>
      <c r="D630" s="16"/>
      <c r="E630" s="16"/>
      <c r="F630" s="16"/>
      <c r="G630" s="16"/>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16"/>
      <c r="D631" s="16"/>
      <c r="E631" s="16"/>
      <c r="F631" s="16"/>
      <c r="G631" s="16"/>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16"/>
      <c r="D632" s="16"/>
      <c r="E632" s="16"/>
      <c r="F632" s="16"/>
      <c r="G632" s="16"/>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16"/>
      <c r="D633" s="16"/>
      <c r="E633" s="16"/>
      <c r="F633" s="16"/>
      <c r="G633" s="16"/>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16"/>
      <c r="D634" s="16"/>
      <c r="E634" s="16"/>
      <c r="F634" s="16"/>
      <c r="G634" s="16"/>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16"/>
      <c r="D635" s="16"/>
      <c r="E635" s="16"/>
      <c r="F635" s="16"/>
      <c r="G635" s="16"/>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16"/>
      <c r="D636" s="16"/>
      <c r="E636" s="16"/>
      <c r="F636" s="16"/>
      <c r="G636" s="16"/>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16"/>
      <c r="D637" s="16"/>
      <c r="E637" s="16"/>
      <c r="F637" s="16"/>
      <c r="G637" s="16"/>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16"/>
      <c r="D638" s="16"/>
      <c r="E638" s="16"/>
      <c r="F638" s="16"/>
      <c r="G638" s="16"/>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16"/>
      <c r="D639" s="16"/>
      <c r="E639" s="16"/>
      <c r="F639" s="16"/>
      <c r="G639" s="16"/>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16"/>
      <c r="D640" s="16"/>
      <c r="E640" s="16"/>
      <c r="F640" s="16"/>
      <c r="G640" s="16"/>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16"/>
      <c r="D641" s="16"/>
      <c r="E641" s="16"/>
      <c r="F641" s="16"/>
      <c r="G641" s="16"/>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16"/>
      <c r="D642" s="16"/>
      <c r="E642" s="16"/>
      <c r="F642" s="16"/>
      <c r="G642" s="16"/>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16"/>
      <c r="D643" s="16"/>
      <c r="E643" s="16"/>
      <c r="F643" s="16"/>
      <c r="G643" s="16"/>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16"/>
      <c r="D644" s="16"/>
      <c r="E644" s="16"/>
      <c r="F644" s="16"/>
      <c r="G644" s="16"/>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16"/>
      <c r="D645" s="16"/>
      <c r="E645" s="16"/>
      <c r="F645" s="16"/>
      <c r="G645" s="16"/>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16"/>
      <c r="D646" s="16"/>
      <c r="E646" s="16"/>
      <c r="F646" s="16"/>
      <c r="G646" s="16"/>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16"/>
      <c r="D647" s="16"/>
      <c r="E647" s="16"/>
      <c r="F647" s="16"/>
      <c r="G647" s="16"/>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16"/>
      <c r="D648" s="16"/>
      <c r="E648" s="16"/>
      <c r="F648" s="16"/>
      <c r="G648" s="16"/>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16"/>
      <c r="D649" s="16"/>
      <c r="E649" s="16"/>
      <c r="F649" s="16"/>
      <c r="G649" s="16"/>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16"/>
      <c r="D650" s="16"/>
      <c r="E650" s="16"/>
      <c r="F650" s="16"/>
      <c r="G650" s="16"/>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16"/>
      <c r="D651" s="16"/>
      <c r="E651" s="16"/>
      <c r="F651" s="16"/>
      <c r="G651" s="16"/>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16"/>
      <c r="D652" s="16"/>
      <c r="E652" s="16"/>
      <c r="F652" s="16"/>
      <c r="G652" s="16"/>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16"/>
      <c r="D653" s="16"/>
      <c r="E653" s="16"/>
      <c r="F653" s="16"/>
      <c r="G653" s="16"/>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16"/>
      <c r="D654" s="16"/>
      <c r="E654" s="16"/>
      <c r="F654" s="16"/>
      <c r="G654" s="16"/>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16"/>
      <c r="D655" s="16"/>
      <c r="E655" s="16"/>
      <c r="F655" s="16"/>
      <c r="G655" s="16"/>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16"/>
      <c r="D656" s="16"/>
      <c r="E656" s="16"/>
      <c r="F656" s="16"/>
      <c r="G656" s="16"/>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16"/>
      <c r="D657" s="16"/>
      <c r="E657" s="16"/>
      <c r="F657" s="16"/>
      <c r="G657" s="16"/>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16"/>
      <c r="D658" s="16"/>
      <c r="E658" s="16"/>
      <c r="F658" s="16"/>
      <c r="G658" s="16"/>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16"/>
      <c r="D659" s="16"/>
      <c r="E659" s="16"/>
      <c r="F659" s="16"/>
      <c r="G659" s="16"/>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16"/>
      <c r="D660" s="16"/>
      <c r="E660" s="16"/>
      <c r="F660" s="16"/>
      <c r="G660" s="16"/>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16"/>
      <c r="D661" s="16"/>
      <c r="E661" s="16"/>
      <c r="F661" s="16"/>
      <c r="G661" s="16"/>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16"/>
      <c r="D662" s="16"/>
      <c r="E662" s="16"/>
      <c r="F662" s="16"/>
      <c r="G662" s="16"/>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16"/>
      <c r="D663" s="16"/>
      <c r="E663" s="16"/>
      <c r="F663" s="16"/>
      <c r="G663" s="16"/>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16"/>
      <c r="D664" s="16"/>
      <c r="E664" s="16"/>
      <c r="F664" s="16"/>
      <c r="G664" s="16"/>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16"/>
      <c r="D665" s="16"/>
      <c r="E665" s="16"/>
      <c r="F665" s="16"/>
      <c r="G665" s="16"/>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16"/>
      <c r="D666" s="16"/>
      <c r="E666" s="16"/>
      <c r="F666" s="16"/>
      <c r="G666" s="16"/>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16"/>
      <c r="D667" s="16"/>
      <c r="E667" s="16"/>
      <c r="F667" s="16"/>
      <c r="G667" s="16"/>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16"/>
      <c r="D668" s="16"/>
      <c r="E668" s="16"/>
      <c r="F668" s="16"/>
      <c r="G668" s="16"/>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16"/>
      <c r="D669" s="16"/>
      <c r="E669" s="16"/>
      <c r="F669" s="16"/>
      <c r="G669" s="16"/>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16"/>
      <c r="D670" s="16"/>
      <c r="E670" s="16"/>
      <c r="F670" s="16"/>
      <c r="G670" s="16"/>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16"/>
      <c r="D671" s="16"/>
      <c r="E671" s="16"/>
      <c r="F671" s="16"/>
      <c r="G671" s="16"/>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16"/>
      <c r="D672" s="16"/>
      <c r="E672" s="16"/>
      <c r="F672" s="16"/>
      <c r="G672" s="16"/>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16"/>
      <c r="D673" s="16"/>
      <c r="E673" s="16"/>
      <c r="F673" s="16"/>
      <c r="G673" s="16"/>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16"/>
      <c r="D674" s="16"/>
      <c r="E674" s="16"/>
      <c r="F674" s="16"/>
      <c r="G674" s="16"/>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16"/>
      <c r="D675" s="16"/>
      <c r="E675" s="16"/>
      <c r="F675" s="16"/>
      <c r="G675" s="16"/>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16"/>
      <c r="D676" s="16"/>
      <c r="E676" s="16"/>
      <c r="F676" s="16"/>
      <c r="G676" s="16"/>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16"/>
      <c r="D677" s="16"/>
      <c r="E677" s="16"/>
      <c r="F677" s="16"/>
      <c r="G677" s="16"/>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16"/>
      <c r="D678" s="16"/>
      <c r="E678" s="16"/>
      <c r="F678" s="16"/>
      <c r="G678" s="16"/>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16"/>
      <c r="D679" s="16"/>
      <c r="E679" s="16"/>
      <c r="F679" s="16"/>
      <c r="G679" s="16"/>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16"/>
      <c r="D680" s="16"/>
      <c r="E680" s="16"/>
      <c r="F680" s="16"/>
      <c r="G680" s="16"/>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16"/>
      <c r="D681" s="16"/>
      <c r="E681" s="16"/>
      <c r="F681" s="16"/>
      <c r="G681" s="16"/>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16"/>
      <c r="D682" s="16"/>
      <c r="E682" s="16"/>
      <c r="F682" s="16"/>
      <c r="G682" s="16"/>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16"/>
      <c r="D683" s="16"/>
      <c r="E683" s="16"/>
      <c r="F683" s="16"/>
      <c r="G683" s="16"/>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16"/>
      <c r="D684" s="16"/>
      <c r="E684" s="16"/>
      <c r="F684" s="16"/>
      <c r="G684" s="16"/>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16"/>
      <c r="D685" s="16"/>
      <c r="E685" s="16"/>
      <c r="F685" s="16"/>
      <c r="G685" s="16"/>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16"/>
      <c r="D686" s="16"/>
      <c r="E686" s="16"/>
      <c r="F686" s="16"/>
      <c r="G686" s="16"/>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16"/>
      <c r="D687" s="16"/>
      <c r="E687" s="16"/>
      <c r="F687" s="16"/>
      <c r="G687" s="16"/>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16"/>
      <c r="D688" s="16"/>
      <c r="E688" s="16"/>
      <c r="F688" s="16"/>
      <c r="G688" s="16"/>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16"/>
      <c r="D689" s="16"/>
      <c r="E689" s="16"/>
      <c r="F689" s="16"/>
      <c r="G689" s="16"/>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16"/>
      <c r="D690" s="16"/>
      <c r="E690" s="16"/>
      <c r="F690" s="16"/>
      <c r="G690" s="16"/>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16"/>
      <c r="D691" s="16"/>
      <c r="E691" s="16"/>
      <c r="F691" s="16"/>
      <c r="G691" s="16"/>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16"/>
      <c r="D692" s="16"/>
      <c r="E692" s="16"/>
      <c r="F692" s="16"/>
      <c r="G692" s="16"/>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16"/>
      <c r="D693" s="16"/>
      <c r="E693" s="16"/>
      <c r="F693" s="16"/>
      <c r="G693" s="16"/>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16"/>
      <c r="D694" s="16"/>
      <c r="E694" s="16"/>
      <c r="F694" s="16"/>
      <c r="G694" s="16"/>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16"/>
      <c r="D695" s="16"/>
      <c r="E695" s="16"/>
      <c r="F695" s="16"/>
      <c r="G695" s="16"/>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16"/>
      <c r="D696" s="16"/>
      <c r="E696" s="16"/>
      <c r="F696" s="16"/>
      <c r="G696" s="16"/>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16"/>
      <c r="D697" s="16"/>
      <c r="E697" s="16"/>
      <c r="F697" s="16"/>
      <c r="G697" s="16"/>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16"/>
      <c r="D698" s="16"/>
      <c r="E698" s="16"/>
      <c r="F698" s="16"/>
      <c r="G698" s="16"/>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16"/>
      <c r="D699" s="16"/>
      <c r="E699" s="16"/>
      <c r="F699" s="16"/>
      <c r="G699" s="16"/>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16"/>
      <c r="D700" s="16"/>
      <c r="E700" s="16"/>
      <c r="F700" s="16"/>
      <c r="G700" s="16"/>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16"/>
      <c r="D701" s="16"/>
      <c r="E701" s="16"/>
      <c r="F701" s="16"/>
      <c r="G701" s="16"/>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16"/>
      <c r="D702" s="16"/>
      <c r="E702" s="16"/>
      <c r="F702" s="16"/>
      <c r="G702" s="16"/>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16"/>
      <c r="D703" s="16"/>
      <c r="E703" s="16"/>
      <c r="F703" s="16"/>
      <c r="G703" s="16"/>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16"/>
      <c r="D704" s="16"/>
      <c r="E704" s="16"/>
      <c r="F704" s="16"/>
      <c r="G704" s="16"/>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16"/>
      <c r="D705" s="16"/>
      <c r="E705" s="16"/>
      <c r="F705" s="16"/>
      <c r="G705" s="16"/>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16"/>
      <c r="D706" s="16"/>
      <c r="E706" s="16"/>
      <c r="F706" s="16"/>
      <c r="G706" s="16"/>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16"/>
      <c r="D707" s="16"/>
      <c r="E707" s="16"/>
      <c r="F707" s="16"/>
      <c r="G707" s="16"/>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16"/>
      <c r="D708" s="16"/>
      <c r="E708" s="16"/>
      <c r="F708" s="16"/>
      <c r="G708" s="16"/>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16"/>
      <c r="D709" s="16"/>
      <c r="E709" s="16"/>
      <c r="F709" s="16"/>
      <c r="G709" s="16"/>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16"/>
      <c r="D710" s="16"/>
      <c r="E710" s="16"/>
      <c r="F710" s="16"/>
      <c r="G710" s="16"/>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16"/>
      <c r="D711" s="16"/>
      <c r="E711" s="16"/>
      <c r="F711" s="16"/>
      <c r="G711" s="16"/>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16"/>
      <c r="D712" s="16"/>
      <c r="E712" s="16"/>
      <c r="F712" s="16"/>
      <c r="G712" s="16"/>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16"/>
      <c r="D713" s="16"/>
      <c r="E713" s="16"/>
      <c r="F713" s="16"/>
      <c r="G713" s="16"/>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16"/>
      <c r="D714" s="16"/>
      <c r="E714" s="16"/>
      <c r="F714" s="16"/>
      <c r="G714" s="16"/>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16"/>
      <c r="D715" s="16"/>
      <c r="E715" s="16"/>
      <c r="F715" s="16"/>
      <c r="G715" s="16"/>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16"/>
      <c r="D716" s="16"/>
      <c r="E716" s="16"/>
      <c r="F716" s="16"/>
      <c r="G716" s="16"/>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16"/>
      <c r="D717" s="16"/>
      <c r="E717" s="16"/>
      <c r="F717" s="16"/>
      <c r="G717" s="16"/>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16"/>
      <c r="D718" s="16"/>
      <c r="E718" s="16"/>
      <c r="F718" s="16"/>
      <c r="G718" s="16"/>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16"/>
      <c r="D719" s="16"/>
      <c r="E719" s="16"/>
      <c r="F719" s="16"/>
      <c r="G719" s="16"/>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16"/>
      <c r="D720" s="16"/>
      <c r="E720" s="16"/>
      <c r="F720" s="16"/>
      <c r="G720" s="16"/>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16"/>
      <c r="D721" s="16"/>
      <c r="E721" s="16"/>
      <c r="F721" s="16"/>
      <c r="G721" s="16"/>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16"/>
      <c r="D722" s="16"/>
      <c r="E722" s="16"/>
      <c r="F722" s="16"/>
      <c r="G722" s="16"/>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16"/>
      <c r="D723" s="16"/>
      <c r="E723" s="16"/>
      <c r="F723" s="16"/>
      <c r="G723" s="16"/>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16"/>
      <c r="D724" s="16"/>
      <c r="E724" s="16"/>
      <c r="F724" s="16"/>
      <c r="G724" s="16"/>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16"/>
      <c r="D725" s="16"/>
      <c r="E725" s="16"/>
      <c r="F725" s="16"/>
      <c r="G725" s="16"/>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16"/>
      <c r="D726" s="16"/>
      <c r="E726" s="16"/>
      <c r="F726" s="16"/>
      <c r="G726" s="16"/>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16"/>
      <c r="D727" s="16"/>
      <c r="E727" s="16"/>
      <c r="F727" s="16"/>
      <c r="G727" s="16"/>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16"/>
      <c r="D728" s="16"/>
      <c r="E728" s="16"/>
      <c r="F728" s="16"/>
      <c r="G728" s="16"/>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16"/>
      <c r="D729" s="16"/>
      <c r="E729" s="16"/>
      <c r="F729" s="16"/>
      <c r="G729" s="16"/>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16"/>
      <c r="D730" s="16"/>
      <c r="E730" s="16"/>
      <c r="F730" s="16"/>
      <c r="G730" s="16"/>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16"/>
      <c r="D731" s="16"/>
      <c r="E731" s="16"/>
      <c r="F731" s="16"/>
      <c r="G731" s="16"/>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16"/>
      <c r="D732" s="16"/>
      <c r="E732" s="16"/>
      <c r="F732" s="16"/>
      <c r="G732" s="16"/>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16"/>
      <c r="D733" s="16"/>
      <c r="E733" s="16"/>
      <c r="F733" s="16"/>
      <c r="G733" s="16"/>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16"/>
      <c r="D734" s="16"/>
      <c r="E734" s="16"/>
      <c r="F734" s="16"/>
      <c r="G734" s="16"/>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16"/>
      <c r="D735" s="16"/>
      <c r="E735" s="16"/>
      <c r="F735" s="16"/>
      <c r="G735" s="16"/>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16"/>
      <c r="D736" s="16"/>
      <c r="E736" s="16"/>
      <c r="F736" s="16"/>
      <c r="G736" s="16"/>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16"/>
      <c r="D737" s="16"/>
      <c r="E737" s="16"/>
      <c r="F737" s="16"/>
      <c r="G737" s="16"/>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16"/>
      <c r="D738" s="16"/>
      <c r="E738" s="16"/>
      <c r="F738" s="16"/>
      <c r="G738" s="16"/>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16"/>
      <c r="D739" s="16"/>
      <c r="E739" s="16"/>
      <c r="F739" s="16"/>
      <c r="G739" s="16"/>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16"/>
      <c r="D740" s="16"/>
      <c r="E740" s="16"/>
      <c r="F740" s="16"/>
      <c r="G740" s="16"/>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16"/>
      <c r="D741" s="16"/>
      <c r="E741" s="16"/>
      <c r="F741" s="16"/>
      <c r="G741" s="16"/>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16"/>
      <c r="D742" s="16"/>
      <c r="E742" s="16"/>
      <c r="F742" s="16"/>
      <c r="G742" s="16"/>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16"/>
      <c r="D743" s="16"/>
      <c r="E743" s="16"/>
      <c r="F743" s="16"/>
      <c r="G743" s="16"/>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16"/>
      <c r="D744" s="16"/>
      <c r="E744" s="16"/>
      <c r="F744" s="16"/>
      <c r="G744" s="16"/>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16"/>
      <c r="D745" s="16"/>
      <c r="E745" s="16"/>
      <c r="F745" s="16"/>
      <c r="G745" s="16"/>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16"/>
      <c r="D746" s="16"/>
      <c r="E746" s="16"/>
      <c r="F746" s="16"/>
      <c r="G746" s="16"/>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16"/>
      <c r="D747" s="16"/>
      <c r="E747" s="16"/>
      <c r="F747" s="16"/>
      <c r="G747" s="16"/>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16"/>
      <c r="D748" s="16"/>
      <c r="E748" s="16"/>
      <c r="F748" s="16"/>
      <c r="G748" s="16"/>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16"/>
      <c r="D749" s="16"/>
      <c r="E749" s="16"/>
      <c r="F749" s="16"/>
      <c r="G749" s="16"/>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16"/>
      <c r="D750" s="16"/>
      <c r="E750" s="16"/>
      <c r="F750" s="16"/>
      <c r="G750" s="16"/>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16"/>
      <c r="D751" s="16"/>
      <c r="E751" s="16"/>
      <c r="F751" s="16"/>
      <c r="G751" s="16"/>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16"/>
      <c r="D752" s="16"/>
      <c r="E752" s="16"/>
      <c r="F752" s="16"/>
      <c r="G752" s="16"/>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16"/>
      <c r="D753" s="16"/>
      <c r="E753" s="16"/>
      <c r="F753" s="16"/>
      <c r="G753" s="16"/>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16"/>
      <c r="D754" s="16"/>
      <c r="E754" s="16"/>
      <c r="F754" s="16"/>
      <c r="G754" s="16"/>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16"/>
      <c r="D755" s="16"/>
      <c r="E755" s="16"/>
      <c r="F755" s="16"/>
      <c r="G755" s="16"/>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16"/>
      <c r="D756" s="16"/>
      <c r="E756" s="16"/>
      <c r="F756" s="16"/>
      <c r="G756" s="16"/>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16"/>
      <c r="D757" s="16"/>
      <c r="E757" s="16"/>
      <c r="F757" s="16"/>
      <c r="G757" s="16"/>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16"/>
      <c r="D758" s="16"/>
      <c r="E758" s="16"/>
      <c r="F758" s="16"/>
      <c r="G758" s="16"/>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16"/>
      <c r="D759" s="16"/>
      <c r="E759" s="16"/>
      <c r="F759" s="16"/>
      <c r="G759" s="16"/>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16"/>
      <c r="D760" s="16"/>
      <c r="E760" s="16"/>
      <c r="F760" s="16"/>
      <c r="G760" s="16"/>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16"/>
      <c r="D761" s="16"/>
      <c r="E761" s="16"/>
      <c r="F761" s="16"/>
      <c r="G761" s="16"/>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16"/>
      <c r="D762" s="16"/>
      <c r="E762" s="16"/>
      <c r="F762" s="16"/>
      <c r="G762" s="16"/>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16"/>
      <c r="D763" s="16"/>
      <c r="E763" s="16"/>
      <c r="F763" s="16"/>
      <c r="G763" s="16"/>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16"/>
      <c r="D764" s="16"/>
      <c r="E764" s="16"/>
      <c r="F764" s="16"/>
      <c r="G764" s="16"/>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16"/>
      <c r="D765" s="16"/>
      <c r="E765" s="16"/>
      <c r="F765" s="16"/>
      <c r="G765" s="16"/>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16"/>
      <c r="D766" s="16"/>
      <c r="E766" s="16"/>
      <c r="F766" s="16"/>
      <c r="G766" s="16"/>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16"/>
      <c r="D767" s="16"/>
      <c r="E767" s="16"/>
      <c r="F767" s="16"/>
      <c r="G767" s="16"/>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16"/>
      <c r="D768" s="16"/>
      <c r="E768" s="16"/>
      <c r="F768" s="16"/>
      <c r="G768" s="16"/>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16"/>
      <c r="D769" s="16"/>
      <c r="E769" s="16"/>
      <c r="F769" s="16"/>
      <c r="G769" s="16"/>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16"/>
      <c r="D770" s="16"/>
      <c r="E770" s="16"/>
      <c r="F770" s="16"/>
      <c r="G770" s="16"/>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16"/>
      <c r="D771" s="16"/>
      <c r="E771" s="16"/>
      <c r="F771" s="16"/>
      <c r="G771" s="16"/>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16"/>
      <c r="D772" s="16"/>
      <c r="E772" s="16"/>
      <c r="F772" s="16"/>
      <c r="G772" s="16"/>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16"/>
      <c r="D773" s="16"/>
      <c r="E773" s="16"/>
      <c r="F773" s="16"/>
      <c r="G773" s="16"/>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16"/>
      <c r="D774" s="16"/>
      <c r="E774" s="16"/>
      <c r="F774" s="16"/>
      <c r="G774" s="16"/>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16"/>
      <c r="D775" s="16"/>
      <c r="E775" s="16"/>
      <c r="F775" s="16"/>
      <c r="G775" s="16"/>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16"/>
      <c r="D776" s="16"/>
      <c r="E776" s="16"/>
      <c r="F776" s="16"/>
      <c r="G776" s="16"/>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16"/>
      <c r="D777" s="16"/>
      <c r="E777" s="16"/>
      <c r="F777" s="16"/>
      <c r="G777" s="16"/>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16"/>
      <c r="D778" s="16"/>
      <c r="E778" s="16"/>
      <c r="F778" s="16"/>
      <c r="G778" s="16"/>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16"/>
      <c r="D779" s="16"/>
      <c r="E779" s="16"/>
      <c r="F779" s="16"/>
      <c r="G779" s="16"/>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16"/>
      <c r="D780" s="16"/>
      <c r="E780" s="16"/>
      <c r="F780" s="16"/>
      <c r="G780" s="16"/>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16"/>
      <c r="D781" s="16"/>
      <c r="E781" s="16"/>
      <c r="F781" s="16"/>
      <c r="G781" s="16"/>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16"/>
      <c r="D782" s="16"/>
      <c r="E782" s="16"/>
      <c r="F782" s="16"/>
      <c r="G782" s="16"/>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16"/>
      <c r="D783" s="16"/>
      <c r="E783" s="16"/>
      <c r="F783" s="16"/>
      <c r="G783" s="16"/>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16"/>
      <c r="D784" s="16"/>
      <c r="E784" s="16"/>
      <c r="F784" s="16"/>
      <c r="G784" s="16"/>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16"/>
      <c r="D785" s="16"/>
      <c r="E785" s="16"/>
      <c r="F785" s="16"/>
      <c r="G785" s="16"/>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16"/>
      <c r="D786" s="16"/>
      <c r="E786" s="16"/>
      <c r="F786" s="16"/>
      <c r="G786" s="16"/>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16"/>
      <c r="D787" s="16"/>
      <c r="E787" s="16"/>
      <c r="F787" s="16"/>
      <c r="G787" s="16"/>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16"/>
      <c r="D788" s="16"/>
      <c r="E788" s="16"/>
      <c r="F788" s="16"/>
      <c r="G788" s="16"/>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16"/>
      <c r="D789" s="16"/>
      <c r="E789" s="16"/>
      <c r="F789" s="16"/>
      <c r="G789" s="16"/>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16"/>
      <c r="D790" s="16"/>
      <c r="E790" s="16"/>
      <c r="F790" s="16"/>
      <c r="G790" s="16"/>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16"/>
      <c r="D791" s="16"/>
      <c r="E791" s="16"/>
      <c r="F791" s="16"/>
      <c r="G791" s="16"/>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16"/>
      <c r="D792" s="16"/>
      <c r="E792" s="16"/>
      <c r="F792" s="16"/>
      <c r="G792" s="16"/>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16"/>
      <c r="D793" s="16"/>
      <c r="E793" s="16"/>
      <c r="F793" s="16"/>
      <c r="G793" s="16"/>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16"/>
      <c r="D794" s="16"/>
      <c r="E794" s="16"/>
      <c r="F794" s="16"/>
      <c r="G794" s="16"/>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16"/>
      <c r="D795" s="16"/>
      <c r="E795" s="16"/>
      <c r="F795" s="16"/>
      <c r="G795" s="16"/>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16"/>
      <c r="D796" s="16"/>
      <c r="E796" s="16"/>
      <c r="F796" s="16"/>
      <c r="G796" s="16"/>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16"/>
      <c r="D797" s="16"/>
      <c r="E797" s="16"/>
      <c r="F797" s="16"/>
      <c r="G797" s="16"/>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16"/>
      <c r="D798" s="16"/>
      <c r="E798" s="16"/>
      <c r="F798" s="16"/>
      <c r="G798" s="16"/>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16"/>
      <c r="D799" s="16"/>
      <c r="E799" s="16"/>
      <c r="F799" s="16"/>
      <c r="G799" s="16"/>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16"/>
      <c r="D800" s="16"/>
      <c r="E800" s="16"/>
      <c r="F800" s="16"/>
      <c r="G800" s="16"/>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16"/>
      <c r="D801" s="16"/>
      <c r="E801" s="16"/>
      <c r="F801" s="16"/>
      <c r="G801" s="16"/>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16"/>
      <c r="D802" s="16"/>
      <c r="E802" s="16"/>
      <c r="F802" s="16"/>
      <c r="G802" s="16"/>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16"/>
      <c r="D803" s="16"/>
      <c r="E803" s="16"/>
      <c r="F803" s="16"/>
      <c r="G803" s="16"/>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16"/>
      <c r="D804" s="16"/>
      <c r="E804" s="16"/>
      <c r="F804" s="16"/>
      <c r="G804" s="16"/>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16"/>
      <c r="D805" s="16"/>
      <c r="E805" s="16"/>
      <c r="F805" s="16"/>
      <c r="G805" s="16"/>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16"/>
      <c r="D806" s="16"/>
      <c r="E806" s="16"/>
      <c r="F806" s="16"/>
      <c r="G806" s="16"/>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16"/>
      <c r="D807" s="16"/>
      <c r="E807" s="16"/>
      <c r="F807" s="16"/>
      <c r="G807" s="16"/>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16"/>
      <c r="D808" s="16"/>
      <c r="E808" s="16"/>
      <c r="F808" s="16"/>
      <c r="G808" s="16"/>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16"/>
      <c r="D809" s="16"/>
      <c r="E809" s="16"/>
      <c r="F809" s="16"/>
      <c r="G809" s="16"/>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16"/>
      <c r="D810" s="16"/>
      <c r="E810" s="16"/>
      <c r="F810" s="16"/>
      <c r="G810" s="16"/>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16"/>
      <c r="D811" s="16"/>
      <c r="E811" s="16"/>
      <c r="F811" s="16"/>
      <c r="G811" s="16"/>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16"/>
      <c r="D812" s="16"/>
      <c r="E812" s="16"/>
      <c r="F812" s="16"/>
      <c r="G812" s="16"/>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16"/>
      <c r="D813" s="16"/>
      <c r="E813" s="16"/>
      <c r="F813" s="16"/>
      <c r="G813" s="16"/>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16"/>
      <c r="D814" s="16"/>
      <c r="E814" s="16"/>
      <c r="F814" s="16"/>
      <c r="G814" s="16"/>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16"/>
      <c r="D815" s="16"/>
      <c r="E815" s="16"/>
      <c r="F815" s="16"/>
      <c r="G815" s="16"/>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16"/>
      <c r="D816" s="16"/>
      <c r="E816" s="16"/>
      <c r="F816" s="16"/>
      <c r="G816" s="16"/>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16"/>
      <c r="D817" s="16"/>
      <c r="E817" s="16"/>
      <c r="F817" s="16"/>
      <c r="G817" s="16"/>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16"/>
      <c r="D818" s="16"/>
      <c r="E818" s="16"/>
      <c r="F818" s="16"/>
      <c r="G818" s="16"/>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16"/>
      <c r="D819" s="16"/>
      <c r="E819" s="16"/>
      <c r="F819" s="16"/>
      <c r="G819" s="16"/>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16"/>
      <c r="D820" s="16"/>
      <c r="E820" s="16"/>
      <c r="F820" s="16"/>
      <c r="G820" s="16"/>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16"/>
      <c r="D821" s="16"/>
      <c r="E821" s="16"/>
      <c r="F821" s="16"/>
      <c r="G821" s="16"/>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16"/>
      <c r="D822" s="16"/>
      <c r="E822" s="16"/>
      <c r="F822" s="16"/>
      <c r="G822" s="16"/>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16"/>
      <c r="D823" s="16"/>
      <c r="E823" s="16"/>
      <c r="F823" s="16"/>
      <c r="G823" s="16"/>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16"/>
      <c r="D824" s="16"/>
      <c r="E824" s="16"/>
      <c r="F824" s="16"/>
      <c r="G824" s="16"/>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16"/>
      <c r="D825" s="16"/>
      <c r="E825" s="16"/>
      <c r="F825" s="16"/>
      <c r="G825" s="16"/>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16"/>
      <c r="D826" s="16"/>
      <c r="E826" s="16"/>
      <c r="F826" s="16"/>
      <c r="G826" s="16"/>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16"/>
      <c r="D827" s="16"/>
      <c r="E827" s="16"/>
      <c r="F827" s="16"/>
      <c r="G827" s="16"/>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16"/>
      <c r="D828" s="16"/>
      <c r="E828" s="16"/>
      <c r="F828" s="16"/>
      <c r="G828" s="16"/>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16"/>
      <c r="D829" s="16"/>
      <c r="E829" s="16"/>
      <c r="F829" s="16"/>
      <c r="G829" s="16"/>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16"/>
      <c r="D830" s="16"/>
      <c r="E830" s="16"/>
      <c r="F830" s="16"/>
      <c r="G830" s="16"/>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16"/>
      <c r="D831" s="16"/>
      <c r="E831" s="16"/>
      <c r="F831" s="16"/>
      <c r="G831" s="16"/>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16"/>
      <c r="D832" s="16"/>
      <c r="E832" s="16"/>
      <c r="F832" s="16"/>
      <c r="G832" s="16"/>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16"/>
      <c r="D833" s="16"/>
      <c r="E833" s="16"/>
      <c r="F833" s="16"/>
      <c r="G833" s="16"/>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16"/>
      <c r="D834" s="16"/>
      <c r="E834" s="16"/>
      <c r="F834" s="16"/>
      <c r="G834" s="16"/>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16"/>
      <c r="D835" s="16"/>
      <c r="E835" s="16"/>
      <c r="F835" s="16"/>
      <c r="G835" s="16"/>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16"/>
      <c r="D836" s="16"/>
      <c r="E836" s="16"/>
      <c r="F836" s="16"/>
      <c r="G836" s="16"/>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16"/>
      <c r="D837" s="16"/>
      <c r="E837" s="16"/>
      <c r="F837" s="16"/>
      <c r="G837" s="16"/>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16"/>
      <c r="D838" s="16"/>
      <c r="E838" s="16"/>
      <c r="F838" s="16"/>
      <c r="G838" s="16"/>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16"/>
      <c r="D839" s="16"/>
      <c r="E839" s="16"/>
      <c r="F839" s="16"/>
      <c r="G839" s="16"/>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16"/>
      <c r="D840" s="16"/>
      <c r="E840" s="16"/>
      <c r="F840" s="16"/>
      <c r="G840" s="16"/>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16"/>
      <c r="D841" s="16"/>
      <c r="E841" s="16"/>
      <c r="F841" s="16"/>
      <c r="G841" s="16"/>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16"/>
      <c r="D842" s="16"/>
      <c r="E842" s="16"/>
      <c r="F842" s="16"/>
      <c r="G842" s="16"/>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16"/>
      <c r="D843" s="16"/>
      <c r="E843" s="16"/>
      <c r="F843" s="16"/>
      <c r="G843" s="16"/>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16"/>
      <c r="D844" s="16"/>
      <c r="E844" s="16"/>
      <c r="F844" s="16"/>
      <c r="G844" s="16"/>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16"/>
      <c r="D845" s="16"/>
      <c r="E845" s="16"/>
      <c r="F845" s="16"/>
      <c r="G845" s="16"/>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16"/>
      <c r="D846" s="16"/>
      <c r="E846" s="16"/>
      <c r="F846" s="16"/>
      <c r="G846" s="16"/>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16"/>
      <c r="D847" s="16"/>
      <c r="E847" s="16"/>
      <c r="F847" s="16"/>
      <c r="G847" s="16"/>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16"/>
      <c r="D848" s="16"/>
      <c r="E848" s="16"/>
      <c r="F848" s="16"/>
      <c r="G848" s="16"/>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16"/>
      <c r="D849" s="16"/>
      <c r="E849" s="16"/>
      <c r="F849" s="16"/>
      <c r="G849" s="16"/>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16"/>
      <c r="D850" s="16"/>
      <c r="E850" s="16"/>
      <c r="F850" s="16"/>
      <c r="G850" s="16"/>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16"/>
      <c r="D851" s="16"/>
      <c r="E851" s="16"/>
      <c r="F851" s="16"/>
      <c r="G851" s="16"/>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16"/>
      <c r="D852" s="16"/>
      <c r="E852" s="16"/>
      <c r="F852" s="16"/>
      <c r="G852" s="16"/>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16"/>
      <c r="D853" s="16"/>
      <c r="E853" s="16"/>
      <c r="F853" s="16"/>
      <c r="G853" s="16"/>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16"/>
      <c r="D854" s="16"/>
      <c r="E854" s="16"/>
      <c r="F854" s="16"/>
      <c r="G854" s="16"/>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16"/>
      <c r="D855" s="16"/>
      <c r="E855" s="16"/>
      <c r="F855" s="16"/>
      <c r="G855" s="16"/>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16"/>
      <c r="D856" s="16"/>
      <c r="E856" s="16"/>
      <c r="F856" s="16"/>
      <c r="G856" s="16"/>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16"/>
      <c r="D857" s="16"/>
      <c r="E857" s="16"/>
      <c r="F857" s="16"/>
      <c r="G857" s="16"/>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16"/>
      <c r="D858" s="16"/>
      <c r="E858" s="16"/>
      <c r="F858" s="16"/>
      <c r="G858" s="16"/>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16"/>
      <c r="D859" s="16"/>
      <c r="E859" s="16"/>
      <c r="F859" s="16"/>
      <c r="G859" s="16"/>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16"/>
      <c r="D860" s="16"/>
      <c r="E860" s="16"/>
      <c r="F860" s="16"/>
      <c r="G860" s="16"/>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16"/>
      <c r="D861" s="16"/>
      <c r="E861" s="16"/>
      <c r="F861" s="16"/>
      <c r="G861" s="16"/>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16"/>
      <c r="D862" s="16"/>
      <c r="E862" s="16"/>
      <c r="F862" s="16"/>
      <c r="G862" s="16"/>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16"/>
      <c r="D863" s="16"/>
      <c r="E863" s="16"/>
      <c r="F863" s="16"/>
      <c r="G863" s="16"/>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16"/>
      <c r="D864" s="16"/>
      <c r="E864" s="16"/>
      <c r="F864" s="16"/>
      <c r="G864" s="16"/>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16"/>
      <c r="D865" s="16"/>
      <c r="E865" s="16"/>
      <c r="F865" s="16"/>
      <c r="G865" s="16"/>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16"/>
      <c r="D866" s="16"/>
      <c r="E866" s="16"/>
      <c r="F866" s="16"/>
      <c r="G866" s="16"/>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16"/>
      <c r="D867" s="16"/>
      <c r="E867" s="16"/>
      <c r="F867" s="16"/>
      <c r="G867" s="16"/>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16"/>
      <c r="D868" s="16"/>
      <c r="E868" s="16"/>
      <c r="F868" s="16"/>
      <c r="G868" s="16"/>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16"/>
      <c r="D869" s="16"/>
      <c r="E869" s="16"/>
      <c r="F869" s="16"/>
      <c r="G869" s="16"/>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16"/>
      <c r="D870" s="16"/>
      <c r="E870" s="16"/>
      <c r="F870" s="16"/>
      <c r="G870" s="16"/>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16"/>
      <c r="D871" s="16"/>
      <c r="E871" s="16"/>
      <c r="F871" s="16"/>
      <c r="G871" s="16"/>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16"/>
      <c r="D872" s="16"/>
      <c r="E872" s="16"/>
      <c r="F872" s="16"/>
      <c r="G872" s="16"/>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16"/>
      <c r="D873" s="16"/>
      <c r="E873" s="16"/>
      <c r="F873" s="16"/>
      <c r="G873" s="16"/>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16"/>
      <c r="D874" s="16"/>
      <c r="E874" s="16"/>
      <c r="F874" s="16"/>
      <c r="G874" s="16"/>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16"/>
      <c r="D875" s="16"/>
      <c r="E875" s="16"/>
      <c r="F875" s="16"/>
      <c r="G875" s="16"/>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16"/>
      <c r="D876" s="16"/>
      <c r="E876" s="16"/>
      <c r="F876" s="16"/>
      <c r="G876" s="16"/>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16"/>
      <c r="D877" s="16"/>
      <c r="E877" s="16"/>
      <c r="F877" s="16"/>
      <c r="G877" s="16"/>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16"/>
      <c r="D878" s="16"/>
      <c r="E878" s="16"/>
      <c r="F878" s="16"/>
      <c r="G878" s="16"/>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16"/>
      <c r="D879" s="16"/>
      <c r="E879" s="16"/>
      <c r="F879" s="16"/>
      <c r="G879" s="16"/>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16"/>
      <c r="D880" s="16"/>
      <c r="E880" s="16"/>
      <c r="F880" s="16"/>
      <c r="G880" s="16"/>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16"/>
      <c r="D881" s="16"/>
      <c r="E881" s="16"/>
      <c r="F881" s="16"/>
      <c r="G881" s="16"/>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16"/>
      <c r="D882" s="16"/>
      <c r="E882" s="16"/>
      <c r="F882" s="16"/>
      <c r="G882" s="16"/>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16"/>
      <c r="D883" s="16"/>
      <c r="E883" s="16"/>
      <c r="F883" s="16"/>
      <c r="G883" s="16"/>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16"/>
      <c r="D884" s="16"/>
      <c r="E884" s="16"/>
      <c r="F884" s="16"/>
      <c r="G884" s="16"/>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16"/>
      <c r="D885" s="16"/>
      <c r="E885" s="16"/>
      <c r="F885" s="16"/>
      <c r="G885" s="16"/>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16"/>
      <c r="D886" s="16"/>
      <c r="E886" s="16"/>
      <c r="F886" s="16"/>
      <c r="G886" s="16"/>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16"/>
      <c r="D887" s="16"/>
      <c r="E887" s="16"/>
      <c r="F887" s="16"/>
      <c r="G887" s="16"/>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16"/>
      <c r="D888" s="16"/>
      <c r="E888" s="16"/>
      <c r="F888" s="16"/>
      <c r="G888" s="16"/>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16"/>
      <c r="D889" s="16"/>
      <c r="E889" s="16"/>
      <c r="F889" s="16"/>
      <c r="G889" s="16"/>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16"/>
      <c r="D890" s="16"/>
      <c r="E890" s="16"/>
      <c r="F890" s="16"/>
      <c r="G890" s="16"/>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16"/>
      <c r="D891" s="16"/>
      <c r="E891" s="16"/>
      <c r="F891" s="16"/>
      <c r="G891" s="16"/>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16"/>
      <c r="D892" s="16"/>
      <c r="E892" s="16"/>
      <c r="F892" s="16"/>
      <c r="G892" s="16"/>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16"/>
      <c r="D893" s="16"/>
      <c r="E893" s="16"/>
      <c r="F893" s="16"/>
      <c r="G893" s="16"/>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16"/>
      <c r="D894" s="16"/>
      <c r="E894" s="16"/>
      <c r="F894" s="16"/>
      <c r="G894" s="16"/>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16"/>
      <c r="D895" s="16"/>
      <c r="E895" s="16"/>
      <c r="F895" s="16"/>
      <c r="G895" s="16"/>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16"/>
      <c r="D896" s="16"/>
      <c r="E896" s="16"/>
      <c r="F896" s="16"/>
      <c r="G896" s="16"/>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16"/>
      <c r="D897" s="16"/>
      <c r="E897" s="16"/>
      <c r="F897" s="16"/>
      <c r="G897" s="16"/>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16"/>
      <c r="D898" s="16"/>
      <c r="E898" s="16"/>
      <c r="F898" s="16"/>
      <c r="G898" s="16"/>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16"/>
      <c r="D899" s="16"/>
      <c r="E899" s="16"/>
      <c r="F899" s="16"/>
      <c r="G899" s="16"/>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16"/>
      <c r="D900" s="16"/>
      <c r="E900" s="16"/>
      <c r="F900" s="16"/>
      <c r="G900" s="16"/>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16"/>
      <c r="D901" s="16"/>
      <c r="E901" s="16"/>
      <c r="F901" s="16"/>
      <c r="G901" s="16"/>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16"/>
      <c r="D902" s="16"/>
      <c r="E902" s="16"/>
      <c r="F902" s="16"/>
      <c r="G902" s="16"/>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16"/>
      <c r="D903" s="16"/>
      <c r="E903" s="16"/>
      <c r="F903" s="16"/>
      <c r="G903" s="16"/>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16"/>
      <c r="D904" s="16"/>
      <c r="E904" s="16"/>
      <c r="F904" s="16"/>
      <c r="G904" s="16"/>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16"/>
      <c r="D905" s="16"/>
      <c r="E905" s="16"/>
      <c r="F905" s="16"/>
      <c r="G905" s="16"/>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16"/>
      <c r="D906" s="16"/>
      <c r="E906" s="16"/>
      <c r="F906" s="16"/>
      <c r="G906" s="16"/>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16"/>
      <c r="D907" s="16"/>
      <c r="E907" s="16"/>
      <c r="F907" s="16"/>
      <c r="G907" s="16"/>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16"/>
      <c r="D908" s="16"/>
      <c r="E908" s="16"/>
      <c r="F908" s="16"/>
      <c r="G908" s="16"/>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16"/>
      <c r="D909" s="16"/>
      <c r="E909" s="16"/>
      <c r="F909" s="16"/>
      <c r="G909" s="16"/>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16"/>
      <c r="D910" s="16"/>
      <c r="E910" s="16"/>
      <c r="F910" s="16"/>
      <c r="G910" s="16"/>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16"/>
      <c r="D911" s="16"/>
      <c r="E911" s="16"/>
      <c r="F911" s="16"/>
      <c r="G911" s="16"/>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16"/>
      <c r="D912" s="16"/>
      <c r="E912" s="16"/>
      <c r="F912" s="16"/>
      <c r="G912" s="16"/>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16"/>
      <c r="D913" s="16"/>
      <c r="E913" s="16"/>
      <c r="F913" s="16"/>
      <c r="G913" s="16"/>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16"/>
      <c r="D914" s="16"/>
      <c r="E914" s="16"/>
      <c r="F914" s="16"/>
      <c r="G914" s="16"/>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16"/>
      <c r="D915" s="16"/>
      <c r="E915" s="16"/>
      <c r="F915" s="16"/>
      <c r="G915" s="16"/>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16"/>
      <c r="D916" s="16"/>
      <c r="E916" s="16"/>
      <c r="F916" s="16"/>
      <c r="G916" s="16"/>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16"/>
      <c r="D917" s="16"/>
      <c r="E917" s="16"/>
      <c r="F917" s="16"/>
      <c r="G917" s="16"/>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16"/>
      <c r="D918" s="16"/>
      <c r="E918" s="16"/>
      <c r="F918" s="16"/>
      <c r="G918" s="16"/>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16"/>
      <c r="D919" s="16"/>
      <c r="E919" s="16"/>
      <c r="F919" s="16"/>
      <c r="G919" s="16"/>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16"/>
      <c r="D920" s="16"/>
      <c r="E920" s="16"/>
      <c r="F920" s="16"/>
      <c r="G920" s="16"/>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16"/>
      <c r="D921" s="16"/>
      <c r="E921" s="16"/>
      <c r="F921" s="16"/>
      <c r="G921" s="16"/>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16"/>
      <c r="D922" s="16"/>
      <c r="E922" s="16"/>
      <c r="F922" s="16"/>
      <c r="G922" s="16"/>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16"/>
      <c r="D923" s="16"/>
      <c r="E923" s="16"/>
      <c r="F923" s="16"/>
      <c r="G923" s="16"/>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16"/>
      <c r="D924" s="16"/>
      <c r="E924" s="16"/>
      <c r="F924" s="16"/>
      <c r="G924" s="16"/>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16"/>
      <c r="D925" s="16"/>
      <c r="E925" s="16"/>
      <c r="F925" s="16"/>
      <c r="G925" s="16"/>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16"/>
      <c r="D926" s="16"/>
      <c r="E926" s="16"/>
      <c r="F926" s="16"/>
      <c r="G926" s="16"/>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16"/>
      <c r="D927" s="16"/>
      <c r="E927" s="16"/>
      <c r="F927" s="16"/>
      <c r="G927" s="16"/>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16"/>
      <c r="D928" s="16"/>
      <c r="E928" s="16"/>
      <c r="F928" s="16"/>
      <c r="G928" s="16"/>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16"/>
      <c r="D929" s="16"/>
      <c r="E929" s="16"/>
      <c r="F929" s="16"/>
      <c r="G929" s="16"/>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16"/>
      <c r="D930" s="16"/>
      <c r="E930" s="16"/>
      <c r="F930" s="16"/>
      <c r="G930" s="16"/>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16"/>
      <c r="D931" s="16"/>
      <c r="E931" s="16"/>
      <c r="F931" s="16"/>
      <c r="G931" s="16"/>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16"/>
      <c r="D932" s="16"/>
      <c r="E932" s="16"/>
      <c r="F932" s="16"/>
      <c r="G932" s="16"/>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16"/>
      <c r="D933" s="16"/>
      <c r="E933" s="16"/>
      <c r="F933" s="16"/>
      <c r="G933" s="16"/>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16"/>
      <c r="D934" s="16"/>
      <c r="E934" s="16"/>
      <c r="F934" s="16"/>
      <c r="G934" s="16"/>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16"/>
      <c r="D935" s="16"/>
      <c r="E935" s="16"/>
      <c r="F935" s="16"/>
      <c r="G935" s="16"/>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16"/>
      <c r="D936" s="16"/>
      <c r="E936" s="16"/>
      <c r="F936" s="16"/>
      <c r="G936" s="16"/>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16"/>
      <c r="D937" s="16"/>
      <c r="E937" s="16"/>
      <c r="F937" s="16"/>
      <c r="G937" s="16"/>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16"/>
      <c r="D938" s="16"/>
      <c r="E938" s="16"/>
      <c r="F938" s="16"/>
      <c r="G938" s="16"/>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16"/>
      <c r="D939" s="16"/>
      <c r="E939" s="16"/>
      <c r="F939" s="16"/>
      <c r="G939" s="16"/>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16"/>
      <c r="D940" s="16"/>
      <c r="E940" s="16"/>
      <c r="F940" s="16"/>
      <c r="G940" s="16"/>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16"/>
      <c r="D941" s="16"/>
      <c r="E941" s="16"/>
      <c r="F941" s="16"/>
      <c r="G941" s="16"/>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16"/>
      <c r="D942" s="16"/>
      <c r="E942" s="16"/>
      <c r="F942" s="16"/>
      <c r="G942" s="16"/>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16"/>
      <c r="D943" s="16"/>
      <c r="E943" s="16"/>
      <c r="F943" s="16"/>
      <c r="G943" s="16"/>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16"/>
      <c r="D944" s="16"/>
      <c r="E944" s="16"/>
      <c r="F944" s="16"/>
      <c r="G944" s="16"/>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16"/>
      <c r="D945" s="16"/>
      <c r="E945" s="16"/>
      <c r="F945" s="16"/>
      <c r="G945" s="16"/>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16"/>
      <c r="D946" s="16"/>
      <c r="E946" s="16"/>
      <c r="F946" s="16"/>
      <c r="G946" s="16"/>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16"/>
      <c r="D947" s="16"/>
      <c r="E947" s="16"/>
      <c r="F947" s="16"/>
      <c r="G947" s="16"/>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16"/>
      <c r="D948" s="16"/>
      <c r="E948" s="16"/>
      <c r="F948" s="16"/>
      <c r="G948" s="16"/>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16"/>
      <c r="D949" s="16"/>
      <c r="E949" s="16"/>
      <c r="F949" s="16"/>
      <c r="G949" s="16"/>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16"/>
      <c r="D950" s="16"/>
      <c r="E950" s="16"/>
      <c r="F950" s="16"/>
      <c r="G950" s="16"/>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16"/>
      <c r="D951" s="16"/>
      <c r="E951" s="16"/>
      <c r="F951" s="16"/>
      <c r="G951" s="16"/>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16"/>
      <c r="D952" s="16"/>
      <c r="E952" s="16"/>
      <c r="F952" s="16"/>
      <c r="G952" s="16"/>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16"/>
      <c r="D953" s="16"/>
      <c r="E953" s="16"/>
      <c r="F953" s="16"/>
      <c r="G953" s="16"/>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16"/>
      <c r="D954" s="16"/>
      <c r="E954" s="16"/>
      <c r="F954" s="16"/>
      <c r="G954" s="16"/>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16"/>
      <c r="D955" s="16"/>
      <c r="E955" s="16"/>
      <c r="F955" s="16"/>
      <c r="G955" s="16"/>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16"/>
      <c r="D956" s="16"/>
      <c r="E956" s="16"/>
      <c r="F956" s="16"/>
      <c r="G956" s="16"/>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16"/>
      <c r="D957" s="16"/>
      <c r="E957" s="16"/>
      <c r="F957" s="16"/>
      <c r="G957" s="16"/>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16"/>
      <c r="D958" s="16"/>
      <c r="E958" s="16"/>
      <c r="F958" s="16"/>
      <c r="G958" s="16"/>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16"/>
      <c r="D959" s="16"/>
      <c r="E959" s="16"/>
      <c r="F959" s="16"/>
      <c r="G959" s="16"/>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16"/>
      <c r="D960" s="16"/>
      <c r="E960" s="16"/>
      <c r="F960" s="16"/>
      <c r="G960" s="16"/>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16"/>
      <c r="D961" s="16"/>
      <c r="E961" s="16"/>
      <c r="F961" s="16"/>
      <c r="G961" s="16"/>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16"/>
      <c r="D962" s="16"/>
      <c r="E962" s="16"/>
      <c r="F962" s="16"/>
      <c r="G962" s="16"/>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16"/>
      <c r="D963" s="16"/>
      <c r="E963" s="16"/>
      <c r="F963" s="16"/>
      <c r="G963" s="16"/>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16"/>
      <c r="D964" s="16"/>
      <c r="E964" s="16"/>
      <c r="F964" s="16"/>
      <c r="G964" s="16"/>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16"/>
      <c r="D965" s="16"/>
      <c r="E965" s="16"/>
      <c r="F965" s="16"/>
      <c r="G965" s="16"/>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16"/>
      <c r="D966" s="16"/>
      <c r="E966" s="16"/>
      <c r="F966" s="16"/>
      <c r="G966" s="16"/>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16"/>
      <c r="D967" s="16"/>
      <c r="E967" s="16"/>
      <c r="F967" s="16"/>
      <c r="G967" s="16"/>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16"/>
      <c r="D968" s="16"/>
      <c r="E968" s="16"/>
      <c r="F968" s="16"/>
      <c r="G968" s="16"/>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16"/>
      <c r="D969" s="16"/>
      <c r="E969" s="16"/>
      <c r="F969" s="16"/>
      <c r="G969" s="16"/>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16"/>
      <c r="D970" s="16"/>
      <c r="E970" s="16"/>
      <c r="F970" s="16"/>
      <c r="G970" s="16"/>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16"/>
      <c r="D971" s="16"/>
      <c r="E971" s="16"/>
      <c r="F971" s="16"/>
      <c r="G971" s="16"/>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16"/>
      <c r="D972" s="16"/>
      <c r="E972" s="16"/>
      <c r="F972" s="16"/>
      <c r="G972" s="16"/>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16"/>
      <c r="D973" s="16"/>
      <c r="E973" s="16"/>
      <c r="F973" s="16"/>
      <c r="G973" s="16"/>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16"/>
      <c r="D974" s="16"/>
      <c r="E974" s="16"/>
      <c r="F974" s="16"/>
      <c r="G974" s="16"/>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16"/>
      <c r="D975" s="16"/>
      <c r="E975" s="16"/>
      <c r="F975" s="16"/>
      <c r="G975" s="16"/>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16"/>
      <c r="D976" s="16"/>
      <c r="E976" s="16"/>
      <c r="F976" s="16"/>
      <c r="G976" s="16"/>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16"/>
      <c r="D977" s="16"/>
      <c r="E977" s="16"/>
      <c r="F977" s="16"/>
      <c r="G977" s="16"/>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16"/>
      <c r="D978" s="16"/>
      <c r="E978" s="16"/>
      <c r="F978" s="16"/>
      <c r="G978" s="16"/>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16"/>
      <c r="D979" s="16"/>
      <c r="E979" s="16"/>
      <c r="F979" s="16"/>
      <c r="G979" s="16"/>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16"/>
      <c r="D980" s="16"/>
      <c r="E980" s="16"/>
      <c r="F980" s="16"/>
      <c r="G980" s="16"/>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16"/>
      <c r="D981" s="16"/>
      <c r="E981" s="16"/>
      <c r="F981" s="16"/>
      <c r="G981" s="16"/>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16"/>
      <c r="D982" s="16"/>
      <c r="E982" s="16"/>
      <c r="F982" s="16"/>
      <c r="G982" s="16"/>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16"/>
      <c r="D983" s="16"/>
      <c r="E983" s="16"/>
      <c r="F983" s="16"/>
      <c r="G983" s="16"/>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16"/>
      <c r="D984" s="16"/>
      <c r="E984" s="16"/>
      <c r="F984" s="16"/>
      <c r="G984" s="16"/>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16"/>
      <c r="D985" s="16"/>
      <c r="E985" s="16"/>
      <c r="F985" s="16"/>
      <c r="G985" s="16"/>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16"/>
      <c r="D986" s="16"/>
      <c r="E986" s="16"/>
      <c r="F986" s="16"/>
      <c r="G986" s="16"/>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16"/>
      <c r="D987" s="16"/>
      <c r="E987" s="16"/>
      <c r="F987" s="16"/>
      <c r="G987" s="16"/>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16"/>
      <c r="D988" s="16"/>
      <c r="E988" s="16"/>
      <c r="F988" s="16"/>
      <c r="G988" s="16"/>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16"/>
      <c r="D989" s="16"/>
      <c r="E989" s="16"/>
      <c r="F989" s="16"/>
      <c r="G989" s="16"/>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16"/>
      <c r="D990" s="16"/>
      <c r="E990" s="16"/>
      <c r="F990" s="16"/>
      <c r="G990" s="16"/>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16"/>
      <c r="D991" s="16"/>
      <c r="E991" s="16"/>
      <c r="F991" s="16"/>
      <c r="G991" s="16"/>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16"/>
      <c r="D992" s="16"/>
      <c r="E992" s="16"/>
      <c r="F992" s="16"/>
      <c r="G992" s="16"/>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16"/>
      <c r="D993" s="16"/>
      <c r="E993" s="16"/>
      <c r="F993" s="16"/>
      <c r="G993" s="16"/>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16"/>
      <c r="D994" s="16"/>
      <c r="E994" s="16"/>
      <c r="F994" s="16"/>
      <c r="G994" s="16"/>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16"/>
      <c r="D995" s="16"/>
      <c r="E995" s="16"/>
      <c r="F995" s="16"/>
      <c r="G995" s="16"/>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16"/>
      <c r="D996" s="16"/>
      <c r="E996" s="16"/>
      <c r="F996" s="16"/>
      <c r="G996" s="16"/>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16"/>
      <c r="D997" s="16"/>
      <c r="E997" s="16"/>
      <c r="F997" s="16"/>
      <c r="G997" s="16"/>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16"/>
      <c r="D998" s="16"/>
      <c r="E998" s="16"/>
      <c r="F998" s="16"/>
      <c r="G998" s="16"/>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16"/>
      <c r="D999" s="16"/>
      <c r="E999" s="16"/>
      <c r="F999" s="16"/>
      <c r="G999" s="16"/>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16"/>
      <c r="D1000" s="16"/>
      <c r="E1000" s="16"/>
      <c r="F1000" s="16"/>
      <c r="G1000" s="16"/>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16"/>
      <c r="D1001" s="16"/>
      <c r="E1001" s="16"/>
      <c r="F1001" s="16"/>
      <c r="G1001" s="16"/>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16"/>
      <c r="D1002" s="16"/>
      <c r="E1002" s="16"/>
      <c r="F1002" s="16"/>
      <c r="G1002" s="16"/>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16"/>
      <c r="D1003" s="16"/>
      <c r="E1003" s="16"/>
      <c r="F1003" s="16"/>
      <c r="G1003" s="16"/>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16"/>
      <c r="D1004" s="16"/>
      <c r="E1004" s="16"/>
      <c r="F1004" s="16"/>
      <c r="G1004" s="16"/>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16"/>
      <c r="D1005" s="16"/>
      <c r="E1005" s="16"/>
      <c r="F1005" s="16"/>
      <c r="G1005" s="16"/>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16"/>
      <c r="D1006" s="16"/>
      <c r="E1006" s="16"/>
      <c r="F1006" s="16"/>
      <c r="G1006" s="16"/>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16"/>
      <c r="D1007" s="16"/>
      <c r="E1007" s="16"/>
      <c r="F1007" s="16"/>
      <c r="G1007" s="16"/>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16"/>
      <c r="D1008" s="16"/>
      <c r="E1008" s="16"/>
      <c r="F1008" s="16"/>
      <c r="G1008" s="16"/>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16"/>
      <c r="D1009" s="16"/>
      <c r="E1009" s="16"/>
      <c r="F1009" s="16"/>
      <c r="G1009" s="16"/>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16"/>
      <c r="D1010" s="16"/>
      <c r="E1010" s="16"/>
      <c r="F1010" s="16"/>
      <c r="G1010" s="16"/>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16"/>
      <c r="D1011" s="16"/>
      <c r="E1011" s="16"/>
      <c r="F1011" s="16"/>
      <c r="G1011" s="16"/>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16"/>
      <c r="D1012" s="16"/>
      <c r="E1012" s="16"/>
      <c r="F1012" s="16"/>
      <c r="G1012" s="16"/>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16"/>
      <c r="D1013" s="16"/>
      <c r="E1013" s="16"/>
      <c r="F1013" s="16"/>
      <c r="G1013" s="16"/>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16"/>
      <c r="D1014" s="16"/>
      <c r="E1014" s="16"/>
      <c r="F1014" s="16"/>
      <c r="G1014" s="16"/>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16"/>
      <c r="D1015" s="16"/>
      <c r="E1015" s="16"/>
      <c r="F1015" s="16"/>
      <c r="G1015" s="16"/>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16"/>
      <c r="D1016" s="16"/>
      <c r="E1016" s="16"/>
      <c r="F1016" s="16"/>
      <c r="G1016" s="16"/>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16"/>
      <c r="D1017" s="16"/>
      <c r="E1017" s="16"/>
      <c r="F1017" s="16"/>
      <c r="G1017" s="16"/>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16"/>
      <c r="D1018" s="16"/>
      <c r="E1018" s="16"/>
      <c r="F1018" s="16"/>
      <c r="G1018" s="16"/>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c r="A1019" s="2"/>
      <c r="B1019" s="2"/>
      <c r="C1019" s="16"/>
      <c r="D1019" s="16"/>
      <c r="E1019" s="16"/>
      <c r="F1019" s="16"/>
      <c r="G1019" s="16"/>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c r="A1020" s="2"/>
      <c r="B1020" s="2"/>
      <c r="C1020" s="16"/>
      <c r="D1020" s="16"/>
      <c r="E1020" s="16"/>
      <c r="F1020" s="16"/>
      <c r="G1020" s="16"/>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c r="A1021" s="2"/>
      <c r="B1021" s="2"/>
      <c r="C1021" s="16"/>
      <c r="D1021" s="16"/>
      <c r="E1021" s="16"/>
      <c r="F1021" s="16"/>
      <c r="G1021" s="16"/>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c r="A1022" s="2"/>
      <c r="B1022" s="2"/>
      <c r="C1022" s="16"/>
      <c r="D1022" s="16"/>
      <c r="E1022" s="16"/>
      <c r="F1022" s="16"/>
      <c r="G1022" s="16"/>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c r="A1023" s="2"/>
      <c r="B1023" s="2"/>
      <c r="C1023" s="16"/>
      <c r="D1023" s="16"/>
      <c r="E1023" s="16"/>
      <c r="F1023" s="16"/>
      <c r="G1023" s="16"/>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c r="A1024" s="2"/>
      <c r="B1024" s="2"/>
      <c r="C1024" s="16"/>
      <c r="D1024" s="16"/>
      <c r="E1024" s="16"/>
      <c r="F1024" s="16"/>
      <c r="G1024" s="16"/>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c r="A1025" s="2"/>
      <c r="B1025" s="2"/>
      <c r="C1025" s="16"/>
      <c r="D1025" s="16"/>
      <c r="E1025" s="16"/>
      <c r="F1025" s="16"/>
      <c r="G1025" s="16"/>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c r="A1026" s="2"/>
      <c r="B1026" s="2"/>
      <c r="C1026" s="16"/>
      <c r="D1026" s="16"/>
      <c r="E1026" s="16"/>
      <c r="F1026" s="16"/>
      <c r="G1026" s="16"/>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c r="A1027" s="2"/>
      <c r="B1027" s="2"/>
      <c r="C1027" s="16"/>
      <c r="D1027" s="16"/>
      <c r="E1027" s="16"/>
      <c r="F1027" s="16"/>
      <c r="G1027" s="16"/>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row r="1028">
      <c r="A1028" s="2"/>
      <c r="B1028" s="2"/>
      <c r="C1028" s="16"/>
      <c r="D1028" s="16"/>
      <c r="E1028" s="16"/>
      <c r="F1028" s="16"/>
      <c r="G1028" s="16"/>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row>
    <row r="1029">
      <c r="A1029" s="2"/>
      <c r="B1029" s="2"/>
      <c r="C1029" s="16"/>
      <c r="D1029" s="16"/>
      <c r="E1029" s="16"/>
      <c r="F1029" s="16"/>
      <c r="G1029" s="16"/>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row>
    <row r="1030">
      <c r="A1030" s="2"/>
      <c r="B1030" s="2"/>
      <c r="C1030" s="16"/>
      <c r="D1030" s="16"/>
      <c r="E1030" s="16"/>
      <c r="F1030" s="16"/>
      <c r="G1030" s="16"/>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row>
    <row r="1031">
      <c r="A1031" s="2"/>
      <c r="B1031" s="2"/>
      <c r="C1031" s="16"/>
      <c r="D1031" s="16"/>
      <c r="E1031" s="16"/>
      <c r="F1031" s="16"/>
      <c r="G1031" s="16"/>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row>
    <row r="1032">
      <c r="A1032" s="2"/>
      <c r="B1032" s="2"/>
      <c r="C1032" s="16"/>
      <c r="D1032" s="16"/>
      <c r="E1032" s="16"/>
      <c r="F1032" s="16"/>
      <c r="G1032" s="16"/>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row>
    <row r="1033">
      <c r="A1033" s="2"/>
      <c r="B1033" s="2"/>
      <c r="C1033" s="16"/>
      <c r="D1033" s="16"/>
      <c r="E1033" s="16"/>
      <c r="F1033" s="16"/>
      <c r="G1033" s="16"/>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row>
    <row r="1034">
      <c r="A1034" s="2"/>
      <c r="B1034" s="2"/>
      <c r="C1034" s="16"/>
      <c r="D1034" s="16"/>
      <c r="E1034" s="16"/>
      <c r="F1034" s="16"/>
      <c r="G1034" s="16"/>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row>
    <row r="1035">
      <c r="A1035" s="2"/>
      <c r="B1035" s="2"/>
      <c r="C1035" s="16"/>
      <c r="D1035" s="16"/>
      <c r="E1035" s="16"/>
      <c r="F1035" s="16"/>
      <c r="G1035" s="16"/>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row>
    <row r="1036">
      <c r="A1036" s="2"/>
      <c r="B1036" s="2"/>
      <c r="C1036" s="16"/>
      <c r="D1036" s="16"/>
      <c r="E1036" s="16"/>
      <c r="F1036" s="16"/>
      <c r="G1036" s="16"/>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row>
    <row r="1037">
      <c r="A1037" s="2"/>
      <c r="B1037" s="2"/>
      <c r="C1037" s="16"/>
      <c r="D1037" s="16"/>
      <c r="E1037" s="16"/>
      <c r="F1037" s="16"/>
      <c r="G1037" s="16"/>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row>
    <row r="1038">
      <c r="A1038" s="2"/>
      <c r="B1038" s="2"/>
      <c r="C1038" s="16"/>
      <c r="D1038" s="16"/>
      <c r="E1038" s="16"/>
      <c r="F1038" s="16"/>
      <c r="G1038" s="16"/>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row>
    <row r="1039">
      <c r="A1039" s="2"/>
      <c r="B1039" s="2"/>
      <c r="C1039" s="16"/>
      <c r="D1039" s="16"/>
      <c r="E1039" s="16"/>
      <c r="F1039" s="16"/>
      <c r="G1039" s="16"/>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row>
    <row r="1040">
      <c r="A1040" s="2"/>
      <c r="B1040" s="2"/>
      <c r="C1040" s="16"/>
      <c r="D1040" s="16"/>
      <c r="E1040" s="16"/>
      <c r="F1040" s="16"/>
      <c r="G1040" s="16"/>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row>
    <row r="1041">
      <c r="A1041" s="2"/>
      <c r="B1041" s="2"/>
      <c r="C1041" s="16"/>
      <c r="D1041" s="16"/>
      <c r="E1041" s="16"/>
      <c r="F1041" s="16"/>
      <c r="G1041" s="16"/>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row>
    <row r="1042">
      <c r="A1042" s="2"/>
      <c r="B1042" s="2"/>
      <c r="C1042" s="16"/>
      <c r="D1042" s="16"/>
      <c r="E1042" s="16"/>
      <c r="F1042" s="16"/>
      <c r="G1042" s="16"/>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row>
    <row r="1043">
      <c r="A1043" s="2"/>
      <c r="B1043" s="2"/>
      <c r="C1043" s="16"/>
      <c r="D1043" s="16"/>
      <c r="E1043" s="16"/>
      <c r="F1043" s="16"/>
      <c r="G1043" s="16"/>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row>
    <row r="1044">
      <c r="A1044" s="2"/>
      <c r="B1044" s="2"/>
      <c r="C1044" s="16"/>
      <c r="D1044" s="16"/>
      <c r="E1044" s="16"/>
      <c r="F1044" s="16"/>
      <c r="G1044" s="16"/>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row>
    <row r="1045">
      <c r="A1045" s="2"/>
      <c r="B1045" s="2"/>
      <c r="C1045" s="16"/>
      <c r="D1045" s="16"/>
      <c r="E1045" s="16"/>
      <c r="F1045" s="16"/>
      <c r="G1045" s="16"/>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row>
    <row r="1046">
      <c r="A1046" s="2"/>
      <c r="B1046" s="2"/>
      <c r="C1046" s="16"/>
      <c r="D1046" s="16"/>
      <c r="E1046" s="16"/>
      <c r="F1046" s="16"/>
      <c r="G1046" s="16"/>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row>
    <row r="1047">
      <c r="A1047" s="2"/>
      <c r="B1047" s="2"/>
      <c r="C1047" s="16"/>
      <c r="D1047" s="16"/>
      <c r="E1047" s="16"/>
      <c r="F1047" s="16"/>
      <c r="G1047" s="16"/>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row>
    <row r="1048">
      <c r="A1048" s="2"/>
      <c r="B1048" s="2"/>
      <c r="C1048" s="16"/>
      <c r="D1048" s="16"/>
      <c r="E1048" s="16"/>
      <c r="F1048" s="16"/>
      <c r="G1048" s="16"/>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row>
    <row r="1049">
      <c r="A1049" s="2"/>
      <c r="B1049" s="2"/>
      <c r="C1049" s="16"/>
      <c r="D1049" s="16"/>
      <c r="E1049" s="16"/>
      <c r="F1049" s="16"/>
      <c r="G1049" s="16"/>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row>
    <row r="1050">
      <c r="A1050" s="2"/>
      <c r="B1050" s="2"/>
      <c r="C1050" s="16"/>
      <c r="D1050" s="16"/>
      <c r="E1050" s="16"/>
      <c r="F1050" s="16"/>
      <c r="G1050" s="16"/>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row>
    <row r="1051">
      <c r="A1051" s="2"/>
      <c r="B1051" s="2"/>
      <c r="C1051" s="16"/>
      <c r="D1051" s="16"/>
      <c r="E1051" s="16"/>
      <c r="F1051" s="16"/>
      <c r="G1051" s="16"/>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row>
    <row r="1052">
      <c r="A1052" s="2"/>
      <c r="B1052" s="2"/>
      <c r="C1052" s="16"/>
      <c r="D1052" s="16"/>
      <c r="E1052" s="16"/>
      <c r="F1052" s="16"/>
      <c r="G1052" s="16"/>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row>
    <row r="1053">
      <c r="A1053" s="2"/>
      <c r="B1053" s="2"/>
      <c r="C1053" s="16"/>
      <c r="D1053" s="16"/>
      <c r="E1053" s="16"/>
      <c r="F1053" s="16"/>
      <c r="G1053" s="16"/>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row>
    <row r="1054">
      <c r="A1054" s="2"/>
      <c r="B1054" s="2"/>
      <c r="C1054" s="16"/>
      <c r="D1054" s="16"/>
      <c r="E1054" s="16"/>
      <c r="F1054" s="16"/>
      <c r="G1054" s="16"/>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row>
    <row r="1055">
      <c r="A1055" s="2"/>
      <c r="B1055" s="2"/>
      <c r="C1055" s="16"/>
      <c r="D1055" s="16"/>
      <c r="E1055" s="16"/>
      <c r="F1055" s="16"/>
      <c r="G1055" s="16"/>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row>
    <row r="1056">
      <c r="A1056" s="2"/>
      <c r="B1056" s="2"/>
      <c r="C1056" s="16"/>
      <c r="D1056" s="16"/>
      <c r="E1056" s="16"/>
      <c r="F1056" s="16"/>
      <c r="G1056" s="16"/>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row>
  </sheetData>
  <mergeCells count="42">
    <mergeCell ref="A1:H3"/>
    <mergeCell ref="G4:H4"/>
    <mergeCell ref="F5:H5"/>
    <mergeCell ref="A6:H6"/>
    <mergeCell ref="A7:H7"/>
    <mergeCell ref="A8:H10"/>
    <mergeCell ref="E11:H12"/>
    <mergeCell ref="A13:H14"/>
    <mergeCell ref="C15:H15"/>
    <mergeCell ref="I16:N16"/>
    <mergeCell ref="I21:N21"/>
    <mergeCell ref="I22:N22"/>
    <mergeCell ref="I23:N23"/>
    <mergeCell ref="I30:N30"/>
    <mergeCell ref="I31:N31"/>
    <mergeCell ref="I32:N32"/>
    <mergeCell ref="A33:H33"/>
    <mergeCell ref="E35:F35"/>
    <mergeCell ref="G35:H35"/>
    <mergeCell ref="A36:H36"/>
    <mergeCell ref="C56:H56"/>
    <mergeCell ref="B57:F57"/>
    <mergeCell ref="D60:H60"/>
    <mergeCell ref="C61:G61"/>
    <mergeCell ref="D62:H62"/>
    <mergeCell ref="C67:H67"/>
    <mergeCell ref="C77:H77"/>
    <mergeCell ref="C82:H82"/>
    <mergeCell ref="C122:H122"/>
    <mergeCell ref="D123:H123"/>
    <mergeCell ref="A129:H129"/>
    <mergeCell ref="A130:H135"/>
    <mergeCell ref="B146:G146"/>
    <mergeCell ref="B147:G147"/>
    <mergeCell ref="B148:G148"/>
    <mergeCell ref="D85:H85"/>
    <mergeCell ref="D86:H86"/>
    <mergeCell ref="C117:H117"/>
    <mergeCell ref="C118:H118"/>
    <mergeCell ref="C119:H119"/>
    <mergeCell ref="C120:H120"/>
    <mergeCell ref="C121:H121"/>
  </mergeCells>
  <conditionalFormatting sqref="A117:A125">
    <cfRule type="colorScale" priority="1">
      <colorScale>
        <cfvo type="min"/>
        <cfvo type="max"/>
        <color rgb="FF57BB8A"/>
        <color rgb="FFFFFFFF"/>
      </colorScale>
    </cfRule>
  </conditionalFormatting>
  <dataValidations>
    <dataValidation type="list" allowBlank="1" sqref="B60 B91">
      <formula1>"Yes,No"</formula1>
    </dataValidation>
    <dataValidation type="list" allowBlank="1" sqref="B79">
      <formula1>"Town Floor Plan #1,Town Floor Plan #2,Town Floor Plan #3,Hall Floor Plan #1,Hall Floor Plan #2,Other"</formula1>
    </dataValidation>
    <dataValidation type="list" allowBlank="1" sqref="B105">
      <formula1>"Bride and Groom only,Entire bridal party"</formula1>
    </dataValidation>
    <dataValidation type="list" allowBlank="1" sqref="B104">
      <formula1>"Yes,Prefer not"</formula1>
    </dataValidation>
    <dataValidation type="list" allowBlank="1" sqref="B82">
      <formula1>"60"" round,36"" round,6' rectangle"</formula1>
    </dataValidation>
    <dataValidation type="list" allowBlank="1" sqref="B59">
      <formula1>"Yes,Notg yet, what dates/times are available?"</formula1>
    </dataValidation>
    <dataValidation type="list" allowBlank="1" sqref="B92">
      <formula1>"small,medium,large,extra large,We do not want a dance floor"</formula1>
    </dataValidation>
    <dataValidation type="list" allowBlank="1" sqref="B70">
      <formula1>"We are bringing battery operated candles,We do not have any candles at all in the Chapel"</formula1>
    </dataValidation>
    <dataValidation type="list" allowBlank="1" sqref="B108">
      <formula1>"Release tables one at a time,Have DJ announce buffet line is open"</formula1>
    </dataValidation>
    <dataValidation type="list" allowBlank="1" sqref="B122">
      <formula1>"Got everyone assigned"</formula1>
    </dataValidation>
    <dataValidation type="list" allowBlank="1" sqref="B72">
      <formula1>"Yes emailed to coordinator,No but I will email it to the coordinator BEFORE my rehearsal"</formula1>
    </dataValidation>
    <dataValidation type="list" allowBlank="1" sqref="B65">
      <formula1>"Yes,No,Silver Sycamore's DJ"</formula1>
    </dataValidation>
    <dataValidation type="list" allowBlank="1" sqref="B76">
      <formula1>"Reception Hall (max 220),Street of the Town (max 300),Saloon (max 50),Restaurant (max 35)"</formula1>
    </dataValidation>
    <dataValidation type="list" allowBlank="1" sqref="B80">
      <formula1>"Memory Table- 60"" Round,Memory Table- 6' banquet,Favor Table 60"" Round,Other Favor Table  6' banquet"</formula1>
    </dataValidation>
    <dataValidation type="list" allowBlank="1" sqref="B90">
      <formula1>"Yes bringing own,Linen/Decor Vendor is bringing in,Using a rental company,No"</formula1>
    </dataValidation>
    <dataValidation type="list" allowBlank="1" sqref="B61">
      <formula1>"Chapel,Outside no matter. However I am aware that my guests might not be willing to sit out in the rain."</formula1>
    </dataValidation>
    <dataValidation type="list" allowBlank="1" sqref="B118">
      <formula1>"Yes all music is sent to SS DJ,No but I will get the list to the DJ asap"</formula1>
    </dataValidation>
    <dataValidation type="list" allowBlank="1" showDropDown="1" sqref="B121 B124">
      <formula1>"option 1,option2,option 3"</formula1>
    </dataValidation>
    <dataValidation type="list" allowBlank="1" sqref="B86">
      <formula1>"Family,Wedding Party,Family &amp; Wedding Party"</formula1>
    </dataValidation>
    <dataValidation type="list" allowBlank="1" sqref="B84">
      <formula1>"Flowers brought by florist,cake topper provided by baker,cake topper provided by family member"</formula1>
    </dataValidation>
    <dataValidation type="list" allowBlank="1" sqref="B117">
      <formula1>"Yes already have,Do not have please email"</formula1>
    </dataValidation>
    <dataValidation type="list" allowBlank="1" sqref="B119">
      <formula1>"Yes I have reread the contract,No not yet but plan to"</formula1>
    </dataValidation>
    <dataValidation type="list" allowBlank="1" sqref="B85">
      <formula1>"Sweetheart table,Head Table"</formula1>
    </dataValidation>
    <dataValidation type="list" allowBlank="1" sqref="B73">
      <formula1>"Yes emailed to coordinator and DJ,No but I will email it to the coordinator BEFORE my rehearsal"</formula1>
    </dataValidation>
    <dataValidation type="list" allowBlank="1" sqref="B101">
      <formula1>"No,Yes,Would like to add for $175"</formula1>
    </dataValidation>
    <dataValidation type="list" allowBlank="1" sqref="B78">
      <formula1>"Yes, I am aware,We would like to add table side service"</formula1>
    </dataValidation>
    <dataValidation type="list" allowBlank="1" sqref="B63">
      <formula1>"Sand Unity,Unity Cross,Love Knot,Other"</formula1>
    </dataValidation>
    <dataValidation type="list" allowBlank="1" sqref="B93">
      <formula1>"Bringing our own centerpieces,Using SS Something Borrowed Centerpieces,Mixture of Both"</formula1>
    </dataValidation>
    <dataValidation type="list" allowBlank="1" sqref="B81">
      <formula1>"I would love to add it!,No Cake Gazebo"</formula1>
    </dataValidation>
    <dataValidation type="list" allowBlank="1" showDropDown="1" sqref="B102">
      <formula1>"No,Yes"</formula1>
    </dataValidation>
    <dataValidation type="list" allowBlank="1" sqref="B68">
      <formula1>"Yes I have assigned those who are picking up decor,We are not bringing any extra decor"</formula1>
    </dataValidation>
    <dataValidation type="list" allowBlank="1" sqref="B120">
      <formula1>"I have given a credit card on file,Please call me to get the card information"</formula1>
    </dataValidation>
    <dataValidation type="list" allowBlank="1" sqref="B114">
      <formula1>"Yes we are aware clean up of bridal cottage and jail will start approximately 30 minutes before event is over"</formula1>
    </dataValidation>
    <dataValidation type="list" allowBlank="1" sqref="B67">
      <formula1>"Yes I am aware"</formula1>
    </dataValidation>
    <dataValidation type="list" allowBlank="1" sqref="B100">
      <formula1>"Open Bar,Cash Bar,Open Bar with Set ups,No Bar"</formula1>
    </dataValidation>
    <dataValidation type="decimal" allowBlank="1" showDropDown="1" sqref="B89">
      <formula1>1.0</formula1>
      <formula2>5.0</formula2>
    </dataValidation>
    <dataValidation type="list" allowBlank="1" sqref="B99">
      <formula1>"All the Pastabilities,Sycamore Comfort,Texas Tradition,Tex-Mex Party Time,Gold Menu,Platinum Menu,Appetizers Only"</formula1>
    </dataValidation>
    <dataValidation type="list" allowBlank="1" sqref="B111">
      <formula1>"Sparklers (we will bring lighters also),Bubbles,Other,No exit plans"</formula1>
    </dataValidation>
    <dataValidation type="list" allowBlank="1" sqref="B58">
      <formula1>"Chapel,Vintage Gazebo,Waterfall Gazebo,Pergola by the Lake"</formula1>
    </dataValidation>
    <dataValidation type="list" allowBlank="1" sqref="B103">
      <formula1>"Before only,After only,Before and After Ceremony"</formula1>
    </dataValidation>
    <dataValidation type="list" allowBlank="1" sqref="B125">
      <formula1>"Yes, we have told all parents,We are still letting them know"</formula1>
    </dataValidation>
    <dataValidation type="list" allowBlank="1" sqref="B69">
      <formula1>"We will be using fake flower petals,We are not using flower petals"</formula1>
    </dataValidation>
    <dataValidation type="decimal" allowBlank="1" showDropDown="1" sqref="B87:B88">
      <formula1>1.0</formula1>
      <formula2>4.0</formula2>
    </dataValidation>
    <dataValidation type="list" allowBlank="1" sqref="B66">
      <formula1>"By the stage,Balcony,N/A"</formula1>
    </dataValidation>
    <dataValidation type="list" allowBlank="1" sqref="B77">
      <formula1>"I am aware reception location will be made by Silver Sycamore 24 hours prior to Wedding,I am aware there is a $700 last minute set up fee if I choose to wait till day of to change location"</formula1>
    </dataValidation>
    <dataValidation type="decimal" allowBlank="1" showDropDown="1" sqref="B62">
      <formula1>10.0</formula1>
      <formula2>200.0</formula2>
    </dataValidation>
    <dataValidation type="list" allowBlank="1" sqref="B71">
      <formula1>"I have informed my Vendors,We will not be using a ladder"</formula1>
    </dataValidation>
    <dataValidation type="list" allowBlank="1" sqref="B83">
      <formula1>"We bought our own,We will use Silver Sycamore's"</formula1>
    </dataValidation>
    <dataValidation type="list" allowBlank="1" sqref="B123">
      <formula1>"Coordinator(s) included in package,Bringing own Coordinator"</formula1>
    </dataValidation>
    <dataValidation type="list" allowBlank="1" sqref="B64">
      <formula1>"Yes lock- so there is no disturbance,No keep unlocked to let guests enter quietly as possible"</formula1>
    </dataValidation>
  </dataValidations>
  <hyperlinks>
    <hyperlink r:id="rId1" ref="C72"/>
    <hyperlink r:id="rId2" ref="C73"/>
    <hyperlink r:id="rId3" ref="C79"/>
    <hyperlink r:id="rId4" ref="D79"/>
    <hyperlink r:id="rId5" ref="C101"/>
    <hyperlink r:id="rId6" ref="C117"/>
  </hyperlinks>
  <printOptions gridLines="1" horizontalCentered="1"/>
  <pageMargins bottom="0.75" footer="0.0" header="0.0" left="0.7" right="0.7" top="0.75"/>
  <pageSetup fitToHeight="0" cellComments="atEnd" orientation="landscape" pageOrder="overThenDown"/>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5"/>
  </cols>
  <sheetData>
    <row r="1">
      <c r="A1" s="86" t="s">
        <v>170</v>
      </c>
      <c r="B1" s="87" t="str">
        <f>'Required Info'!B4</f>
        <v/>
      </c>
    </row>
    <row r="2">
      <c r="A2" s="86" t="s">
        <v>2</v>
      </c>
      <c r="B2" s="88" t="str">
        <f>'Required Info'!D4</f>
        <v/>
      </c>
    </row>
    <row r="3">
      <c r="A3" s="86" t="s">
        <v>3</v>
      </c>
      <c r="B3" s="89" t="str">
        <f>'Required Info'!F4</f>
        <v/>
      </c>
      <c r="D3" s="90" t="str">
        <f>'Required Info'!A130</f>
        <v>This is a great space to include what decor you are bringing</v>
      </c>
    </row>
    <row r="4">
      <c r="A4" s="91" t="s">
        <v>21</v>
      </c>
      <c r="B4" s="92" t="str">
        <f>'Required Info'!C21</f>
        <v/>
      </c>
    </row>
    <row r="5">
      <c r="A5" s="93" t="s">
        <v>171</v>
      </c>
      <c r="B5" s="92" t="str">
        <f>'Required Info'!C31</f>
        <v/>
      </c>
    </row>
    <row r="6">
      <c r="A6" s="93" t="s">
        <v>37</v>
      </c>
      <c r="B6" s="89" t="str">
        <f>'Required Info'!B35:F35</f>
        <v/>
      </c>
    </row>
    <row r="7">
      <c r="A7" s="94" t="s">
        <v>172</v>
      </c>
      <c r="B7" s="89" t="str">
        <f>'Required Info'!C35</f>
        <v/>
      </c>
    </row>
    <row r="8">
      <c r="A8" s="95"/>
      <c r="B8" s="89"/>
    </row>
    <row r="9">
      <c r="A9" s="96" t="s">
        <v>45</v>
      </c>
      <c r="B9" s="89" t="str">
        <f>'Required Info'!B38</f>
        <v/>
      </c>
      <c r="C9" t="str">
        <f>'Required Info'!F38</f>
        <v/>
      </c>
    </row>
    <row r="10">
      <c r="A10" s="96" t="s">
        <v>46</v>
      </c>
      <c r="B10" s="89" t="str">
        <f>'Required Info'!B39</f>
        <v/>
      </c>
      <c r="C10" t="str">
        <f>'Required Info'!F39</f>
        <v/>
      </c>
    </row>
    <row r="11">
      <c r="A11" s="96" t="s">
        <v>173</v>
      </c>
      <c r="B11" s="89" t="str">
        <f>'Required Info'!B40</f>
        <v/>
      </c>
      <c r="C11" t="str">
        <f>'Required Info'!F40</f>
        <v/>
      </c>
    </row>
    <row r="12">
      <c r="A12" s="96" t="s">
        <v>49</v>
      </c>
      <c r="B12" s="89" t="str">
        <f>'Required Info'!B42</f>
        <v/>
      </c>
      <c r="C12" t="str">
        <f>'Required Info'!F42</f>
        <v/>
      </c>
    </row>
    <row r="13">
      <c r="A13" s="97" t="s">
        <v>52</v>
      </c>
      <c r="B13" s="89" t="str">
        <f>'Required Info'!B44</f>
        <v/>
      </c>
      <c r="C13" t="str">
        <f>'Required Info'!F44</f>
        <v/>
      </c>
    </row>
    <row r="14">
      <c r="A14" s="96" t="s">
        <v>54</v>
      </c>
      <c r="B14" s="89" t="str">
        <f>'Required Info'!B46</f>
        <v/>
      </c>
      <c r="C14" t="str">
        <f>'Required Info'!F46</f>
        <v/>
      </c>
    </row>
    <row r="15">
      <c r="A15" s="96" t="s">
        <v>55</v>
      </c>
      <c r="B15" s="89" t="str">
        <f>'Required Info'!B47</f>
        <v/>
      </c>
      <c r="C15" t="str">
        <f>'Required Info'!F47</f>
        <v/>
      </c>
    </row>
    <row r="16">
      <c r="A16" s="96" t="s">
        <v>56</v>
      </c>
      <c r="B16" s="89" t="str">
        <f>'Required Info'!B48</f>
        <v/>
      </c>
      <c r="C16" t="str">
        <f>'Required Info'!F48</f>
        <v/>
      </c>
    </row>
    <row r="17">
      <c r="A17" s="95"/>
      <c r="B17" s="89"/>
    </row>
    <row r="18">
      <c r="A18" s="94" t="s">
        <v>174</v>
      </c>
      <c r="B18" s="89" t="str">
        <f>'Required Info'!B58</f>
        <v/>
      </c>
    </row>
    <row r="19">
      <c r="A19" s="97" t="s">
        <v>175</v>
      </c>
      <c r="B19" s="89" t="str">
        <f>'Required Info'!B63</f>
        <v/>
      </c>
    </row>
    <row r="20">
      <c r="A20" s="95"/>
      <c r="B20" s="89"/>
    </row>
    <row r="21">
      <c r="A21" s="94" t="s">
        <v>176</v>
      </c>
      <c r="B21" s="89" t="str">
        <f>'Required Info'!B76</f>
        <v/>
      </c>
    </row>
    <row r="22">
      <c r="A22" s="93" t="s">
        <v>177</v>
      </c>
      <c r="B22" s="89" t="str">
        <f>'Required Info'!B78</f>
        <v/>
      </c>
    </row>
    <row r="23">
      <c r="A23" s="93" t="s">
        <v>178</v>
      </c>
      <c r="B23" s="89" t="str">
        <f>#REF!</f>
        <v>#REF!</v>
      </c>
    </row>
    <row r="24">
      <c r="A24" s="93" t="s">
        <v>179</v>
      </c>
      <c r="B24" s="89" t="str">
        <f>'Required Info'!B87</f>
        <v/>
      </c>
    </row>
    <row r="25">
      <c r="A25" s="93" t="s">
        <v>180</v>
      </c>
      <c r="B25" s="89" t="str">
        <f>'Required Info'!B86</f>
        <v/>
      </c>
    </row>
    <row r="26">
      <c r="A26" s="93" t="s">
        <v>181</v>
      </c>
      <c r="B26" s="89" t="str">
        <f>'Required Info'!B105</f>
        <v/>
      </c>
    </row>
    <row r="27">
      <c r="A27" s="93" t="s">
        <v>114</v>
      </c>
      <c r="B27" s="89" t="str">
        <f>'Required Info'!B92</f>
        <v/>
      </c>
    </row>
    <row r="28">
      <c r="A28" s="93" t="s">
        <v>122</v>
      </c>
      <c r="B28" s="89" t="str">
        <f>'Required Info'!B100</f>
        <v/>
      </c>
    </row>
    <row r="29">
      <c r="A29" s="93" t="s">
        <v>136</v>
      </c>
      <c r="B29" s="89" t="str">
        <f>'Required Info'!B111</f>
        <v/>
      </c>
    </row>
    <row r="30">
      <c r="A30" s="98"/>
      <c r="B30" s="89"/>
    </row>
    <row r="31">
      <c r="A31" s="93" t="s">
        <v>182</v>
      </c>
      <c r="B31" s="89" t="str">
        <f>'Required Info'!B94</f>
        <v/>
      </c>
    </row>
    <row r="32">
      <c r="A32" s="89"/>
      <c r="B32" s="89"/>
    </row>
    <row r="33">
      <c r="A33" s="89"/>
      <c r="B33" s="89"/>
    </row>
  </sheetData>
  <mergeCells count="1">
    <mergeCell ref="D3:H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99" t="s">
        <v>183</v>
      </c>
      <c r="B1" s="100" t="str">
        <f>'Required Info'!B4</f>
        <v/>
      </c>
      <c r="C1" s="101" t="s">
        <v>184</v>
      </c>
      <c r="D1" s="102" t="str">
        <f>'Required Info'!D4</f>
        <v/>
      </c>
      <c r="E1" s="99" t="s">
        <v>3</v>
      </c>
      <c r="F1" s="103" t="str">
        <f>'Required Info'!F4</f>
        <v/>
      </c>
      <c r="H1" s="104"/>
    </row>
    <row r="3">
      <c r="A3" s="105" t="s">
        <v>185</v>
      </c>
      <c r="G3" s="106"/>
      <c r="H3" s="106"/>
      <c r="I3" s="106"/>
      <c r="J3" s="106"/>
      <c r="K3" s="106"/>
      <c r="L3" s="106"/>
      <c r="M3" s="106"/>
      <c r="N3" s="106"/>
      <c r="O3" s="106"/>
      <c r="P3" s="106"/>
      <c r="Q3" s="106"/>
      <c r="R3" s="106"/>
      <c r="S3" s="106"/>
      <c r="T3" s="106"/>
      <c r="U3" s="106"/>
      <c r="V3" s="106"/>
      <c r="W3" s="106"/>
      <c r="X3" s="106"/>
      <c r="Y3" s="106"/>
      <c r="Z3" s="106"/>
    </row>
    <row r="4">
      <c r="A4" s="107" t="s">
        <v>186</v>
      </c>
      <c r="G4" s="106"/>
      <c r="H4" s="108" t="s">
        <v>187</v>
      </c>
      <c r="M4" s="106"/>
      <c r="N4" s="106"/>
      <c r="O4" s="106"/>
      <c r="P4" s="106"/>
      <c r="Q4" s="106"/>
      <c r="R4" s="106"/>
      <c r="S4" s="106"/>
      <c r="T4" s="106"/>
      <c r="U4" s="106"/>
      <c r="V4" s="106"/>
      <c r="W4" s="106"/>
      <c r="X4" s="106"/>
      <c r="Y4" s="106"/>
      <c r="Z4" s="106"/>
    </row>
    <row r="5">
      <c r="A5" s="109" t="s">
        <v>188</v>
      </c>
      <c r="B5" s="110"/>
      <c r="C5" s="110"/>
      <c r="D5" s="110"/>
      <c r="E5" s="110"/>
      <c r="F5" s="110"/>
      <c r="K5" s="111" t="s">
        <v>189</v>
      </c>
    </row>
    <row r="6">
      <c r="A6" s="99"/>
      <c r="B6" s="99"/>
      <c r="C6" s="99"/>
      <c r="D6" s="99"/>
      <c r="E6" s="99"/>
      <c r="F6" s="99"/>
    </row>
    <row r="9">
      <c r="M9" s="112"/>
      <c r="N9" s="112"/>
      <c r="O9" s="112"/>
    </row>
    <row r="10">
      <c r="M10" s="112"/>
      <c r="N10" s="112"/>
      <c r="O10" s="112"/>
    </row>
    <row r="11">
      <c r="M11" s="112"/>
      <c r="N11" s="112"/>
      <c r="O11" s="112"/>
    </row>
    <row r="12">
      <c r="M12" s="112"/>
      <c r="N12" s="112"/>
      <c r="O12" s="112"/>
    </row>
    <row r="13">
      <c r="M13" s="112"/>
      <c r="N13" s="112"/>
      <c r="O13" s="112"/>
    </row>
    <row r="14">
      <c r="M14" s="112"/>
      <c r="N14" s="112"/>
      <c r="O14" s="112"/>
    </row>
    <row r="16">
      <c r="M16" s="112"/>
      <c r="N16" s="112"/>
      <c r="O16" s="112"/>
    </row>
    <row r="17">
      <c r="M17" s="112"/>
      <c r="N17" s="112"/>
      <c r="O17" s="112"/>
    </row>
    <row r="18">
      <c r="M18" s="112"/>
      <c r="N18" s="112"/>
      <c r="O18" s="112"/>
    </row>
    <row r="20">
      <c r="M20" s="112"/>
      <c r="N20" s="112"/>
      <c r="O20" s="112"/>
    </row>
    <row r="21">
      <c r="M21" s="112"/>
      <c r="N21" s="112"/>
      <c r="O21" s="112"/>
    </row>
    <row r="22">
      <c r="M22" s="112"/>
      <c r="N22" s="112"/>
      <c r="O22" s="112"/>
    </row>
    <row r="23">
      <c r="M23" s="112"/>
      <c r="N23" s="112"/>
      <c r="O23" s="112"/>
    </row>
    <row r="31">
      <c r="A31" s="113" t="s">
        <v>190</v>
      </c>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row>
    <row r="57">
      <c r="A57" s="113" t="s">
        <v>191</v>
      </c>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row>
  </sheetData>
  <mergeCells count="4">
    <mergeCell ref="A3:F3"/>
    <mergeCell ref="A4:F4"/>
    <mergeCell ref="H4:L4"/>
    <mergeCell ref="K5:N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99" t="s">
        <v>183</v>
      </c>
      <c r="B1" s="100" t="str">
        <f>'Required Info'!B4</f>
        <v/>
      </c>
      <c r="C1" s="101" t="s">
        <v>184</v>
      </c>
      <c r="D1" s="102" t="str">
        <f>'Required Info'!D4</f>
        <v/>
      </c>
      <c r="E1" s="99" t="s">
        <v>3</v>
      </c>
      <c r="F1" s="103" t="str">
        <f>'Required Info'!F4</f>
        <v/>
      </c>
      <c r="H1" s="104"/>
    </row>
    <row r="3">
      <c r="A3" s="105" t="s">
        <v>185</v>
      </c>
      <c r="G3" s="106"/>
      <c r="H3" s="106"/>
      <c r="I3" s="106"/>
      <c r="J3" s="106"/>
      <c r="K3" s="106"/>
      <c r="L3" s="106"/>
      <c r="M3" s="106"/>
      <c r="N3" s="106"/>
      <c r="O3" s="106"/>
      <c r="P3" s="106"/>
      <c r="Q3" s="106"/>
      <c r="R3" s="106"/>
      <c r="S3" s="106"/>
      <c r="T3" s="106"/>
      <c r="U3" s="106"/>
      <c r="V3" s="106"/>
      <c r="W3" s="106"/>
      <c r="X3" s="106"/>
      <c r="Y3" s="106"/>
      <c r="Z3" s="106"/>
    </row>
    <row r="4">
      <c r="A4" s="115" t="s">
        <v>192</v>
      </c>
      <c r="H4" s="116" t="s">
        <v>193</v>
      </c>
    </row>
    <row r="6">
      <c r="A6" s="113" t="s">
        <v>194</v>
      </c>
      <c r="D6" s="114"/>
      <c r="E6" s="114"/>
      <c r="F6" s="114"/>
      <c r="G6" s="114"/>
      <c r="H6" s="114"/>
      <c r="I6" s="114"/>
      <c r="J6" s="114"/>
      <c r="K6" s="114"/>
      <c r="L6" s="114"/>
      <c r="M6" s="114"/>
      <c r="N6" s="114"/>
      <c r="O6" s="114"/>
      <c r="P6" s="114"/>
      <c r="Q6" s="114"/>
      <c r="R6" s="114"/>
      <c r="S6" s="114"/>
      <c r="T6" s="114"/>
      <c r="U6" s="114"/>
      <c r="V6" s="114"/>
      <c r="W6" s="114"/>
      <c r="X6" s="114"/>
      <c r="Y6" s="114"/>
      <c r="Z6" s="114"/>
    </row>
    <row r="7">
      <c r="M7" s="112"/>
      <c r="N7" s="112"/>
      <c r="O7" s="112"/>
    </row>
    <row r="8">
      <c r="M8" s="112"/>
      <c r="N8" s="112"/>
      <c r="O8" s="112"/>
    </row>
    <row r="9">
      <c r="M9" s="112"/>
      <c r="N9" s="112"/>
      <c r="O9" s="112"/>
    </row>
    <row r="10">
      <c r="M10" s="112"/>
      <c r="N10" s="112"/>
      <c r="O10" s="112"/>
    </row>
    <row r="11">
      <c r="M11" s="112"/>
      <c r="N11" s="112"/>
      <c r="O11" s="112"/>
    </row>
    <row r="12">
      <c r="M12" s="112"/>
      <c r="N12" s="112"/>
      <c r="O12" s="112"/>
    </row>
    <row r="14">
      <c r="M14" s="112"/>
      <c r="N14" s="112"/>
      <c r="O14" s="112"/>
    </row>
    <row r="15">
      <c r="M15" s="112"/>
      <c r="N15" s="112"/>
      <c r="O15" s="112"/>
    </row>
    <row r="16">
      <c r="M16" s="112"/>
      <c r="N16" s="112"/>
      <c r="O16" s="112"/>
    </row>
    <row r="33">
      <c r="A33" s="113" t="s">
        <v>195</v>
      </c>
      <c r="D33" s="114"/>
      <c r="E33" s="114"/>
      <c r="F33" s="114"/>
      <c r="G33" s="114"/>
      <c r="H33" s="114"/>
      <c r="I33" s="114"/>
      <c r="J33" s="114"/>
      <c r="K33" s="114"/>
      <c r="L33" s="114"/>
      <c r="M33" s="114"/>
      <c r="N33" s="114"/>
      <c r="O33" s="114"/>
      <c r="P33" s="114"/>
      <c r="Q33" s="114"/>
      <c r="R33" s="114"/>
      <c r="S33" s="114"/>
      <c r="T33" s="114"/>
      <c r="U33" s="114"/>
      <c r="V33" s="114"/>
      <c r="W33" s="114"/>
      <c r="X33" s="114"/>
      <c r="Y33" s="114"/>
      <c r="Z33" s="114"/>
    </row>
  </sheetData>
  <mergeCells count="5">
    <mergeCell ref="A3:F3"/>
    <mergeCell ref="A4:F4"/>
    <mergeCell ref="H4:L4"/>
    <mergeCell ref="A6:C6"/>
    <mergeCell ref="A33:C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5"/>
  </cols>
  <sheetData>
    <row r="2">
      <c r="A2" s="1" t="s">
        <v>196</v>
      </c>
    </row>
    <row r="5">
      <c r="A5" s="117" t="s">
        <v>197</v>
      </c>
    </row>
    <row r="6" ht="121.5" customHeight="1"/>
    <row r="8">
      <c r="A8" s="118" t="str">
        <f>HYPERLINK("http://hauevalleyweddings.com/faqs/","Answers to many FAQs can be found here: http://hauevalleyweddings.com/faqs/")</f>
        <v>Answers to many FAQs can be found here: http://hauevalleyweddings.com/faqs/</v>
      </c>
    </row>
    <row r="10" ht="60.75" customHeight="1">
      <c r="A10" s="119" t="s">
        <v>198</v>
      </c>
      <c r="B10" s="120"/>
    </row>
    <row r="11" ht="64.5" customHeight="1">
      <c r="A11" s="121" t="s">
        <v>199</v>
      </c>
      <c r="B11" s="122"/>
      <c r="M11" s="123"/>
    </row>
    <row r="13" ht="60.75" customHeight="1">
      <c r="A13" s="119" t="s">
        <v>198</v>
      </c>
      <c r="B13" s="120"/>
    </row>
    <row r="14" ht="64.5" customHeight="1">
      <c r="A14" s="121" t="s">
        <v>199</v>
      </c>
      <c r="B14" s="122"/>
    </row>
    <row r="16" ht="60.75" customHeight="1">
      <c r="A16" s="119" t="s">
        <v>198</v>
      </c>
      <c r="B16" s="120"/>
    </row>
    <row r="17" ht="64.5" customHeight="1">
      <c r="A17" s="121" t="s">
        <v>199</v>
      </c>
      <c r="B17" s="122"/>
    </row>
    <row r="19" ht="60.75" customHeight="1">
      <c r="A19" s="119" t="s">
        <v>198</v>
      </c>
      <c r="B19" s="120"/>
    </row>
    <row r="20" ht="64.5" customHeight="1">
      <c r="A20" s="121" t="s">
        <v>199</v>
      </c>
      <c r="B20" s="122"/>
    </row>
    <row r="22" ht="60.75" customHeight="1">
      <c r="A22" s="119" t="s">
        <v>198</v>
      </c>
      <c r="B22" s="120"/>
    </row>
    <row r="23" ht="64.5" customHeight="1">
      <c r="A23" s="121" t="s">
        <v>199</v>
      </c>
      <c r="B23" s="122"/>
    </row>
    <row r="25" ht="60.75" customHeight="1">
      <c r="A25" s="119" t="s">
        <v>198</v>
      </c>
      <c r="B25" s="120"/>
    </row>
    <row r="26" ht="64.5" customHeight="1">
      <c r="A26" s="121" t="s">
        <v>199</v>
      </c>
      <c r="B26" s="122"/>
    </row>
    <row r="28" ht="60.75" customHeight="1">
      <c r="A28" s="119" t="s">
        <v>198</v>
      </c>
      <c r="B28" s="120"/>
    </row>
    <row r="29" ht="64.5" customHeight="1">
      <c r="A29" s="121" t="s">
        <v>199</v>
      </c>
      <c r="B29" s="122"/>
    </row>
    <row r="31" ht="60.75" customHeight="1">
      <c r="A31" s="119" t="s">
        <v>198</v>
      </c>
      <c r="B31" s="120"/>
    </row>
    <row r="32" ht="64.5" customHeight="1">
      <c r="A32" s="121" t="s">
        <v>199</v>
      </c>
      <c r="B32" s="122"/>
    </row>
    <row r="34" ht="60.75" customHeight="1">
      <c r="A34" s="119" t="s">
        <v>198</v>
      </c>
      <c r="B34" s="120"/>
    </row>
    <row r="35" ht="64.5" customHeight="1">
      <c r="A35" s="121" t="s">
        <v>199</v>
      </c>
      <c r="B35" s="122"/>
    </row>
    <row r="37" ht="60.75" customHeight="1">
      <c r="A37" s="119" t="s">
        <v>198</v>
      </c>
      <c r="B37" s="120"/>
    </row>
    <row r="38" ht="64.5" customHeight="1">
      <c r="A38" s="121" t="s">
        <v>199</v>
      </c>
      <c r="B38" s="122"/>
    </row>
    <row r="40" ht="60.75" customHeight="1">
      <c r="A40" s="119" t="s">
        <v>198</v>
      </c>
      <c r="B40" s="120"/>
    </row>
    <row r="41" ht="64.5" customHeight="1">
      <c r="A41" s="121" t="s">
        <v>199</v>
      </c>
      <c r="B41" s="122"/>
    </row>
    <row r="43" ht="60.75" customHeight="1">
      <c r="A43" s="119" t="s">
        <v>198</v>
      </c>
      <c r="B43" s="120"/>
    </row>
    <row r="44" ht="64.5" customHeight="1">
      <c r="A44" s="121" t="s">
        <v>199</v>
      </c>
      <c r="B44" s="122"/>
    </row>
    <row r="46" ht="60.75" customHeight="1">
      <c r="A46" s="119" t="s">
        <v>198</v>
      </c>
      <c r="B46" s="120"/>
    </row>
    <row r="47" ht="64.5" customHeight="1">
      <c r="A47" s="121" t="s">
        <v>199</v>
      </c>
      <c r="B47" s="122"/>
    </row>
    <row r="49" ht="60.75" customHeight="1">
      <c r="A49" s="119" t="s">
        <v>198</v>
      </c>
      <c r="B49" s="120"/>
    </row>
    <row r="50" ht="64.5" customHeight="1">
      <c r="A50" s="121" t="s">
        <v>199</v>
      </c>
      <c r="B50" s="122"/>
    </row>
    <row r="52" ht="60.75" customHeight="1">
      <c r="A52" s="119" t="s">
        <v>198</v>
      </c>
      <c r="B52" s="120"/>
    </row>
    <row r="53" ht="64.5" customHeight="1">
      <c r="A53" s="121" t="s">
        <v>199</v>
      </c>
      <c r="B53" s="122"/>
    </row>
    <row r="55" ht="60.75" customHeight="1">
      <c r="A55" s="119" t="s">
        <v>198</v>
      </c>
      <c r="B55" s="120"/>
    </row>
    <row r="56" ht="64.5" customHeight="1">
      <c r="A56" s="121" t="s">
        <v>199</v>
      </c>
      <c r="B56" s="122"/>
    </row>
    <row r="58" ht="60.75" customHeight="1">
      <c r="A58" s="119" t="s">
        <v>198</v>
      </c>
      <c r="B58" s="120"/>
    </row>
    <row r="59" ht="64.5" customHeight="1">
      <c r="A59" s="121" t="s">
        <v>199</v>
      </c>
      <c r="B59" s="122"/>
    </row>
    <row r="61" ht="60.75" customHeight="1">
      <c r="A61" s="119" t="s">
        <v>198</v>
      </c>
      <c r="B61" s="120"/>
    </row>
    <row r="62" ht="64.5" customHeight="1">
      <c r="A62" s="121" t="s">
        <v>199</v>
      </c>
      <c r="B62" s="122"/>
    </row>
    <row r="64" ht="60.75" customHeight="1">
      <c r="A64" s="119" t="s">
        <v>198</v>
      </c>
      <c r="B64" s="120"/>
    </row>
    <row r="65" ht="64.5" customHeight="1">
      <c r="A65" s="121" t="s">
        <v>199</v>
      </c>
      <c r="B65" s="122"/>
    </row>
  </sheetData>
  <mergeCells count="40">
    <mergeCell ref="A2:H4"/>
    <mergeCell ref="A5:H6"/>
    <mergeCell ref="B10:H10"/>
    <mergeCell ref="B11:H11"/>
    <mergeCell ref="B13:H13"/>
    <mergeCell ref="B14:H14"/>
    <mergeCell ref="B16:H16"/>
    <mergeCell ref="B17:H17"/>
    <mergeCell ref="B19:H19"/>
    <mergeCell ref="B20:H20"/>
    <mergeCell ref="B22:H22"/>
    <mergeCell ref="B23:H23"/>
    <mergeCell ref="B25:H25"/>
    <mergeCell ref="B26:H26"/>
    <mergeCell ref="B28:H28"/>
    <mergeCell ref="B29:H29"/>
    <mergeCell ref="B31:H31"/>
    <mergeCell ref="B32:H32"/>
    <mergeCell ref="B34:H34"/>
    <mergeCell ref="B35:H35"/>
    <mergeCell ref="B37:H37"/>
    <mergeCell ref="B38:H38"/>
    <mergeCell ref="B40:H40"/>
    <mergeCell ref="B41:H41"/>
    <mergeCell ref="B43:H43"/>
    <mergeCell ref="B44:H44"/>
    <mergeCell ref="B46:H46"/>
    <mergeCell ref="B47:H47"/>
    <mergeCell ref="B59:H59"/>
    <mergeCell ref="B61:H61"/>
    <mergeCell ref="B62:H62"/>
    <mergeCell ref="B64:H64"/>
    <mergeCell ref="B65:H65"/>
    <mergeCell ref="B49:H49"/>
    <mergeCell ref="B50:H50"/>
    <mergeCell ref="B52:H52"/>
    <mergeCell ref="B53:H53"/>
    <mergeCell ref="B55:H55"/>
    <mergeCell ref="B56:H56"/>
    <mergeCell ref="B58:H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9.38"/>
  </cols>
  <sheetData>
    <row r="2">
      <c r="A2" s="110" t="s">
        <v>200</v>
      </c>
    </row>
    <row r="4">
      <c r="A4" s="32" t="s">
        <v>201</v>
      </c>
      <c r="C4" s="2"/>
      <c r="D4" s="2"/>
      <c r="E4" s="2"/>
      <c r="F4" s="2"/>
    </row>
    <row r="5">
      <c r="A5" s="124" t="s">
        <v>202</v>
      </c>
    </row>
    <row r="9">
      <c r="A9" s="125" t="s">
        <v>203</v>
      </c>
      <c r="B9" s="126"/>
    </row>
    <row r="10" ht="61.5" customHeight="1">
      <c r="A10" s="125" t="s">
        <v>204</v>
      </c>
      <c r="B10" s="127"/>
    </row>
    <row r="11" ht="70.5" customHeight="1">
      <c r="A11" s="125" t="s">
        <v>205</v>
      </c>
      <c r="B11" s="120"/>
    </row>
    <row r="12">
      <c r="A12" s="125" t="s">
        <v>206</v>
      </c>
      <c r="B12" s="127"/>
    </row>
    <row r="13" ht="69.75" customHeight="1">
      <c r="A13" s="125" t="s">
        <v>207</v>
      </c>
      <c r="B13" s="120"/>
    </row>
    <row r="14" ht="60.0" customHeight="1">
      <c r="A14" s="125" t="s">
        <v>208</v>
      </c>
      <c r="B14" s="127"/>
    </row>
    <row r="15" ht="70.5" customHeight="1">
      <c r="A15" s="125" t="s">
        <v>209</v>
      </c>
      <c r="B15" s="120"/>
    </row>
    <row r="16" ht="70.5" customHeight="1">
      <c r="A16" s="125" t="s">
        <v>210</v>
      </c>
      <c r="B16" s="127"/>
    </row>
    <row r="17" ht="84.75" customHeight="1">
      <c r="A17" s="125" t="s">
        <v>211</v>
      </c>
      <c r="B17" s="120"/>
    </row>
    <row r="18" ht="84.75" customHeight="1">
      <c r="A18" s="125" t="s">
        <v>212</v>
      </c>
      <c r="B18" s="120"/>
      <c r="C18" s="120"/>
      <c r="D18" s="120"/>
      <c r="E18" s="120"/>
      <c r="F18" s="120"/>
      <c r="G18" s="120"/>
      <c r="H18" s="120"/>
      <c r="I18" s="120"/>
    </row>
    <row r="19">
      <c r="A19" s="125" t="s">
        <v>213</v>
      </c>
      <c r="B19" s="122"/>
    </row>
    <row r="20">
      <c r="A20" s="58"/>
    </row>
    <row r="21">
      <c r="A21" s="58"/>
    </row>
    <row r="22">
      <c r="A22" s="58"/>
    </row>
    <row r="23">
      <c r="A23" s="58"/>
    </row>
    <row r="24">
      <c r="A24" s="58"/>
    </row>
    <row r="25">
      <c r="A25" s="58"/>
    </row>
    <row r="26">
      <c r="A26" s="58"/>
    </row>
    <row r="27">
      <c r="A27" s="58"/>
    </row>
    <row r="28">
      <c r="A28" s="58"/>
    </row>
    <row r="29">
      <c r="A29" s="58"/>
    </row>
    <row r="30">
      <c r="A30" s="58"/>
    </row>
    <row r="31">
      <c r="A31" s="58"/>
    </row>
    <row r="32">
      <c r="A32" s="58"/>
    </row>
    <row r="33">
      <c r="A33" s="58"/>
    </row>
    <row r="34">
      <c r="A34" s="58"/>
    </row>
    <row r="35">
      <c r="A35" s="58"/>
    </row>
    <row r="36">
      <c r="A36" s="58"/>
    </row>
    <row r="37">
      <c r="A37" s="58"/>
    </row>
    <row r="38">
      <c r="A38" s="58"/>
    </row>
    <row r="39">
      <c r="A39" s="58"/>
    </row>
    <row r="40">
      <c r="A40" s="58"/>
    </row>
    <row r="41">
      <c r="A41" s="58"/>
    </row>
    <row r="42">
      <c r="A42" s="58"/>
    </row>
    <row r="43">
      <c r="A43" s="58"/>
    </row>
    <row r="44">
      <c r="A44" s="58"/>
    </row>
    <row r="45">
      <c r="A45" s="58"/>
    </row>
    <row r="46">
      <c r="A46" s="58"/>
    </row>
    <row r="47">
      <c r="A47" s="58"/>
    </row>
    <row r="48">
      <c r="A48" s="58"/>
    </row>
    <row r="49">
      <c r="A49" s="58"/>
    </row>
    <row r="50">
      <c r="A50" s="58"/>
    </row>
    <row r="51">
      <c r="A51" s="58"/>
    </row>
    <row r="52">
      <c r="A52" s="58"/>
    </row>
    <row r="53">
      <c r="A53" s="58"/>
    </row>
    <row r="54">
      <c r="A54" s="58"/>
    </row>
    <row r="55">
      <c r="A55" s="58"/>
    </row>
    <row r="56">
      <c r="A56" s="58"/>
    </row>
    <row r="57">
      <c r="A57" s="58"/>
    </row>
    <row r="58">
      <c r="A58" s="58"/>
    </row>
    <row r="59">
      <c r="A59" s="58"/>
    </row>
    <row r="60">
      <c r="A60" s="58"/>
    </row>
    <row r="61">
      <c r="A61" s="58"/>
    </row>
    <row r="62">
      <c r="A62" s="58"/>
    </row>
    <row r="63">
      <c r="A63" s="58"/>
    </row>
    <row r="64">
      <c r="A64" s="58"/>
    </row>
    <row r="65">
      <c r="A65" s="58"/>
    </row>
    <row r="66">
      <c r="A66" s="58"/>
    </row>
    <row r="67">
      <c r="A67" s="58"/>
    </row>
    <row r="68">
      <c r="A68" s="58"/>
    </row>
    <row r="69">
      <c r="A69" s="58"/>
    </row>
    <row r="70">
      <c r="A70" s="58"/>
    </row>
    <row r="71">
      <c r="A71" s="58"/>
    </row>
    <row r="72">
      <c r="A72" s="58"/>
    </row>
    <row r="73">
      <c r="A73" s="58"/>
    </row>
    <row r="74">
      <c r="A74" s="58"/>
    </row>
  </sheetData>
  <mergeCells count="11">
    <mergeCell ref="B14:I14"/>
    <mergeCell ref="B15:I15"/>
    <mergeCell ref="B16:I16"/>
    <mergeCell ref="B17:I17"/>
    <mergeCell ref="A2:H2"/>
    <mergeCell ref="A4:B4"/>
    <mergeCell ref="A5:F7"/>
    <mergeCell ref="B10:I10"/>
    <mergeCell ref="B11:I11"/>
    <mergeCell ref="B12:I12"/>
    <mergeCell ref="B13:I13"/>
  </mergeCells>
  <dataValidations>
    <dataValidation type="list" allowBlank="1" sqref="B9">
      <formula1>"Yes so excited,Not right now"</formula1>
    </dataValidation>
    <dataValidation type="list" allowBlank="1" sqref="B19">
      <formula1>"I can't wait to share them with you!"</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8.88"/>
    <col customWidth="1" min="3" max="3" width="16.88"/>
    <col customWidth="1" min="4" max="4" width="17.75"/>
    <col customWidth="1" min="5" max="5" width="19.25"/>
    <col customWidth="1" min="6" max="6" width="78.13"/>
  </cols>
  <sheetData>
    <row r="1">
      <c r="A1" s="128"/>
      <c r="B1" s="2"/>
      <c r="C1" s="2"/>
      <c r="D1" s="2"/>
      <c r="E1" s="2"/>
      <c r="F1" s="2"/>
      <c r="G1" s="2"/>
      <c r="H1" s="2"/>
      <c r="I1" s="2"/>
      <c r="J1" s="2"/>
      <c r="K1" s="2"/>
      <c r="L1" s="2"/>
      <c r="M1" s="2"/>
      <c r="N1" s="2"/>
      <c r="O1" s="2"/>
      <c r="P1" s="2"/>
      <c r="Q1" s="2"/>
      <c r="R1" s="2"/>
      <c r="S1" s="2"/>
      <c r="T1" s="2"/>
      <c r="U1" s="2"/>
      <c r="V1" s="2"/>
      <c r="W1" s="2"/>
      <c r="X1" s="2"/>
      <c r="Y1" s="2"/>
      <c r="Z1" s="2"/>
      <c r="AA1" s="2"/>
      <c r="AB1" s="2"/>
      <c r="AC1" s="2"/>
    </row>
    <row r="2">
      <c r="A2" s="110" t="s">
        <v>214</v>
      </c>
      <c r="I2" s="2"/>
      <c r="J2" s="2"/>
      <c r="K2" s="2"/>
      <c r="L2" s="2"/>
      <c r="M2" s="2"/>
      <c r="N2" s="2"/>
      <c r="O2" s="2"/>
      <c r="P2" s="2"/>
      <c r="Q2" s="2"/>
      <c r="R2" s="2"/>
      <c r="S2" s="2"/>
      <c r="T2" s="2"/>
      <c r="U2" s="2"/>
      <c r="V2" s="2"/>
      <c r="W2" s="2"/>
      <c r="X2" s="2"/>
      <c r="Y2" s="2"/>
      <c r="Z2" s="2"/>
      <c r="AA2" s="2"/>
      <c r="AB2" s="2"/>
      <c r="AC2" s="2"/>
    </row>
    <row r="3">
      <c r="A3" s="129"/>
      <c r="B3" s="2"/>
      <c r="C3" s="2"/>
      <c r="D3" s="2"/>
      <c r="E3" s="2"/>
      <c r="F3" s="2"/>
      <c r="G3" s="2"/>
      <c r="H3" s="2"/>
      <c r="I3" s="2"/>
      <c r="J3" s="2"/>
      <c r="K3" s="2"/>
      <c r="L3" s="2"/>
      <c r="M3" s="2"/>
      <c r="N3" s="2"/>
      <c r="O3" s="2"/>
      <c r="P3" s="2"/>
      <c r="Q3" s="2"/>
      <c r="R3" s="2"/>
      <c r="S3" s="2"/>
      <c r="T3" s="2"/>
      <c r="U3" s="2"/>
      <c r="V3" s="2"/>
      <c r="W3" s="2"/>
      <c r="X3" s="2"/>
      <c r="Y3" s="2"/>
      <c r="Z3" s="2"/>
      <c r="AA3" s="2"/>
      <c r="AB3" s="2"/>
      <c r="AC3" s="2"/>
    </row>
    <row r="4">
      <c r="A4" s="32" t="s">
        <v>201</v>
      </c>
      <c r="C4" s="47" t="s">
        <v>215</v>
      </c>
      <c r="D4" s="2"/>
      <c r="E4" s="2"/>
      <c r="F4" s="2"/>
      <c r="G4" s="2"/>
      <c r="H4" s="2"/>
      <c r="I4" s="2"/>
      <c r="J4" s="2"/>
      <c r="K4" s="2"/>
      <c r="L4" s="2"/>
      <c r="M4" s="2"/>
      <c r="N4" s="2"/>
      <c r="O4" s="2"/>
      <c r="P4" s="2"/>
      <c r="Q4" s="2"/>
      <c r="R4" s="2"/>
      <c r="S4" s="2"/>
      <c r="T4" s="2"/>
      <c r="U4" s="2"/>
      <c r="V4" s="2"/>
      <c r="W4" s="2"/>
      <c r="X4" s="2"/>
      <c r="Y4" s="2"/>
      <c r="Z4" s="2"/>
      <c r="AA4" s="2"/>
      <c r="AB4" s="2"/>
      <c r="AC4" s="2"/>
    </row>
    <row r="5">
      <c r="A5" s="124" t="s">
        <v>216</v>
      </c>
      <c r="G5" s="2"/>
      <c r="H5" s="2"/>
      <c r="I5" s="2"/>
      <c r="J5" s="2"/>
      <c r="K5" s="2"/>
      <c r="L5" s="2"/>
      <c r="M5" s="2"/>
      <c r="N5" s="2"/>
      <c r="O5" s="2"/>
      <c r="P5" s="2"/>
      <c r="Q5" s="2"/>
      <c r="R5" s="2"/>
      <c r="S5" s="2"/>
      <c r="T5" s="2"/>
      <c r="U5" s="2"/>
      <c r="V5" s="2"/>
      <c r="W5" s="2"/>
      <c r="X5" s="2"/>
      <c r="Y5" s="2"/>
      <c r="Z5" s="2"/>
      <c r="AA5" s="2"/>
      <c r="AB5" s="2"/>
      <c r="AC5" s="2"/>
    </row>
    <row r="6">
      <c r="G6" s="2"/>
      <c r="H6" s="2"/>
      <c r="I6" s="2"/>
      <c r="J6" s="2"/>
      <c r="K6" s="2"/>
      <c r="L6" s="2"/>
      <c r="M6" s="2"/>
      <c r="N6" s="2"/>
      <c r="O6" s="2"/>
      <c r="P6" s="2"/>
      <c r="Q6" s="2"/>
      <c r="R6" s="2"/>
      <c r="S6" s="2"/>
      <c r="T6" s="2"/>
      <c r="U6" s="2"/>
      <c r="V6" s="2"/>
      <c r="W6" s="2"/>
      <c r="X6" s="2"/>
      <c r="Y6" s="2"/>
      <c r="Z6" s="2"/>
      <c r="AA6" s="2"/>
      <c r="AB6" s="2"/>
      <c r="AC6" s="2"/>
    </row>
    <row r="7">
      <c r="G7" s="2"/>
      <c r="H7" s="2"/>
      <c r="I7" s="2"/>
      <c r="J7" s="2"/>
      <c r="K7" s="2"/>
      <c r="L7" s="2"/>
      <c r="M7" s="2"/>
      <c r="N7" s="2"/>
      <c r="O7" s="2"/>
      <c r="P7" s="2"/>
      <c r="Q7" s="2"/>
      <c r="R7" s="2"/>
      <c r="S7" s="2"/>
      <c r="T7" s="2"/>
      <c r="U7" s="2"/>
      <c r="V7" s="2"/>
      <c r="W7" s="2"/>
      <c r="X7" s="2"/>
      <c r="Y7" s="2"/>
      <c r="Z7" s="2"/>
      <c r="AA7" s="2"/>
      <c r="AB7" s="2"/>
      <c r="AC7" s="2"/>
    </row>
    <row r="8">
      <c r="A8" s="129"/>
      <c r="B8" s="130" t="s">
        <v>217</v>
      </c>
      <c r="C8" s="130" t="s">
        <v>218</v>
      </c>
      <c r="D8" s="130" t="s">
        <v>219</v>
      </c>
      <c r="E8" s="130" t="s">
        <v>220</v>
      </c>
      <c r="F8" s="32" t="s">
        <v>221</v>
      </c>
      <c r="G8" s="2"/>
      <c r="H8" s="2"/>
      <c r="I8" s="2"/>
      <c r="J8" s="2"/>
      <c r="K8" s="2"/>
      <c r="L8" s="2"/>
      <c r="M8" s="2"/>
      <c r="N8" s="2"/>
      <c r="O8" s="2"/>
      <c r="P8" s="2"/>
      <c r="Q8" s="2"/>
      <c r="R8" s="2"/>
      <c r="S8" s="2"/>
      <c r="T8" s="2"/>
      <c r="U8" s="2"/>
      <c r="V8" s="2"/>
      <c r="W8" s="2"/>
      <c r="X8" s="2"/>
      <c r="Y8" s="2"/>
      <c r="Z8" s="2"/>
      <c r="AA8" s="2"/>
      <c r="AB8" s="2"/>
      <c r="AC8" s="2"/>
    </row>
    <row r="9">
      <c r="A9" s="129" t="s">
        <v>222</v>
      </c>
      <c r="B9" s="2"/>
      <c r="C9" s="2"/>
      <c r="D9" s="2"/>
      <c r="E9" s="2"/>
      <c r="F9" s="2"/>
      <c r="G9" s="2"/>
      <c r="H9" s="2"/>
      <c r="I9" s="2"/>
      <c r="J9" s="2"/>
      <c r="K9" s="2"/>
      <c r="L9" s="2"/>
      <c r="M9" s="2"/>
      <c r="N9" s="2"/>
      <c r="O9" s="2"/>
      <c r="P9" s="2"/>
      <c r="Q9" s="2"/>
      <c r="R9" s="2"/>
      <c r="S9" s="2"/>
      <c r="T9" s="2"/>
      <c r="U9" s="2"/>
      <c r="V9" s="2"/>
      <c r="W9" s="2"/>
      <c r="X9" s="2"/>
      <c r="Y9" s="2"/>
      <c r="Z9" s="2"/>
      <c r="AA9" s="2"/>
      <c r="AB9" s="2"/>
      <c r="AC9" s="2"/>
    </row>
    <row r="10">
      <c r="A10" s="129" t="s">
        <v>223</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129" t="s">
        <v>224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129" t="s">
        <v>225</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129" t="s">
        <v>226</v>
      </c>
      <c r="B13" s="2"/>
      <c r="C13" s="131"/>
      <c r="D13" s="131"/>
      <c r="E13" s="131"/>
      <c r="F13" s="131" t="s">
        <v>227</v>
      </c>
      <c r="G13" s="2"/>
      <c r="H13" s="2"/>
      <c r="I13" s="2"/>
      <c r="J13" s="2"/>
      <c r="K13" s="2"/>
      <c r="L13" s="2"/>
      <c r="M13" s="2"/>
      <c r="N13" s="2"/>
      <c r="O13" s="2"/>
      <c r="P13" s="2"/>
      <c r="Q13" s="2"/>
      <c r="R13" s="2"/>
      <c r="S13" s="2"/>
      <c r="T13" s="2"/>
      <c r="U13" s="2"/>
      <c r="V13" s="2"/>
      <c r="W13" s="2"/>
      <c r="X13" s="2"/>
      <c r="Y13" s="2"/>
      <c r="Z13" s="2"/>
      <c r="AA13" s="2"/>
      <c r="AB13" s="2"/>
      <c r="AC13" s="2"/>
    </row>
    <row r="14">
      <c r="A14" s="129" t="s">
        <v>228</v>
      </c>
      <c r="B14" s="2"/>
      <c r="C14" s="131"/>
      <c r="D14" s="131"/>
      <c r="E14" s="131"/>
      <c r="F14" s="131"/>
      <c r="G14" s="2"/>
      <c r="H14" s="2"/>
      <c r="I14" s="2"/>
      <c r="J14" s="2"/>
      <c r="K14" s="2"/>
      <c r="L14" s="2"/>
      <c r="M14" s="2"/>
      <c r="N14" s="2"/>
      <c r="O14" s="2"/>
      <c r="P14" s="2"/>
      <c r="Q14" s="2"/>
      <c r="R14" s="2"/>
      <c r="S14" s="2"/>
      <c r="T14" s="2"/>
      <c r="U14" s="2"/>
      <c r="V14" s="2"/>
      <c r="W14" s="2"/>
      <c r="X14" s="2"/>
      <c r="Y14" s="2"/>
      <c r="Z14" s="2"/>
      <c r="AA14" s="2"/>
      <c r="AB14" s="2"/>
      <c r="AC14" s="2"/>
    </row>
    <row r="15">
      <c r="A15" s="132" t="s">
        <v>229</v>
      </c>
      <c r="B15" s="133" t="str">
        <f>'Required Info'!C16</f>
        <v/>
      </c>
      <c r="C15" s="134"/>
      <c r="D15" s="134"/>
      <c r="E15" s="134"/>
      <c r="F15" s="135" t="s">
        <v>230</v>
      </c>
      <c r="G15" s="2"/>
      <c r="H15" s="2"/>
      <c r="I15" s="2"/>
      <c r="J15" s="2"/>
      <c r="K15" s="2"/>
      <c r="L15" s="2"/>
      <c r="M15" s="2"/>
      <c r="N15" s="2"/>
      <c r="O15" s="2"/>
      <c r="P15" s="2"/>
      <c r="Q15" s="2"/>
      <c r="R15" s="2"/>
      <c r="S15" s="2"/>
      <c r="T15" s="2"/>
      <c r="U15" s="2"/>
      <c r="V15" s="2"/>
      <c r="W15" s="2"/>
      <c r="X15" s="2"/>
      <c r="Y15" s="2"/>
      <c r="Z15" s="2"/>
      <c r="AA15" s="2"/>
      <c r="AB15" s="2"/>
      <c r="AC15" s="2"/>
    </row>
    <row r="16">
      <c r="A16" s="129" t="s">
        <v>19</v>
      </c>
      <c r="B16" s="2"/>
      <c r="C16" s="47"/>
      <c r="D16" s="47"/>
      <c r="E16" s="47"/>
      <c r="F16" s="47" t="s">
        <v>231</v>
      </c>
      <c r="G16" s="2"/>
      <c r="H16" s="2"/>
      <c r="I16" s="2"/>
      <c r="J16" s="2"/>
      <c r="K16" s="2"/>
      <c r="L16" s="2"/>
      <c r="M16" s="2"/>
      <c r="N16" s="2"/>
      <c r="O16" s="2"/>
      <c r="P16" s="2"/>
      <c r="Q16" s="2"/>
      <c r="R16" s="2"/>
      <c r="S16" s="2"/>
      <c r="T16" s="2"/>
      <c r="U16" s="2"/>
      <c r="V16" s="2"/>
      <c r="W16" s="2"/>
      <c r="X16" s="2"/>
      <c r="Y16" s="2"/>
      <c r="Z16" s="2"/>
      <c r="AA16" s="2"/>
      <c r="AB16" s="2"/>
      <c r="AC16" s="2"/>
    </row>
    <row r="17">
      <c r="A17" s="129" t="s">
        <v>232</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129" t="s">
        <v>233</v>
      </c>
      <c r="B18" s="2"/>
      <c r="C18" s="2"/>
      <c r="D18" s="47"/>
      <c r="E18" s="47"/>
      <c r="F18" s="47" t="s">
        <v>234</v>
      </c>
      <c r="G18" s="2"/>
      <c r="H18" s="2"/>
      <c r="I18" s="2"/>
      <c r="J18" s="2"/>
      <c r="K18" s="2"/>
      <c r="L18" s="2"/>
      <c r="M18" s="2"/>
      <c r="N18" s="2"/>
      <c r="O18" s="2"/>
      <c r="P18" s="2"/>
      <c r="Q18" s="2"/>
      <c r="R18" s="2"/>
      <c r="S18" s="2"/>
      <c r="T18" s="2"/>
      <c r="U18" s="2"/>
      <c r="V18" s="2"/>
      <c r="W18" s="2"/>
      <c r="X18" s="2"/>
      <c r="Y18" s="2"/>
      <c r="Z18" s="2"/>
      <c r="AA18" s="2"/>
      <c r="AB18" s="2"/>
      <c r="AC18" s="2"/>
    </row>
    <row r="19">
      <c r="A19" s="129" t="s">
        <v>235</v>
      </c>
      <c r="B19" s="2"/>
      <c r="C19" s="2"/>
      <c r="D19" s="47"/>
      <c r="E19" s="47"/>
      <c r="F19" s="47" t="s">
        <v>234</v>
      </c>
      <c r="G19" s="2"/>
      <c r="H19" s="2"/>
      <c r="I19" s="2"/>
      <c r="J19" s="2"/>
      <c r="K19" s="2"/>
      <c r="L19" s="2"/>
      <c r="M19" s="2"/>
      <c r="N19" s="2"/>
      <c r="O19" s="2"/>
      <c r="P19" s="2"/>
      <c r="Q19" s="2"/>
      <c r="R19" s="2"/>
      <c r="S19" s="2"/>
      <c r="T19" s="2"/>
      <c r="U19" s="2"/>
      <c r="V19" s="2"/>
      <c r="W19" s="2"/>
      <c r="X19" s="2"/>
      <c r="Y19" s="2"/>
      <c r="Z19" s="2"/>
      <c r="AA19" s="2"/>
      <c r="AB19" s="2"/>
      <c r="AC19" s="2"/>
    </row>
    <row r="20">
      <c r="A20" s="129" t="s">
        <v>236</v>
      </c>
      <c r="B20" s="2"/>
      <c r="C20" s="2"/>
      <c r="D20" s="47"/>
      <c r="E20" s="47"/>
      <c r="F20" s="47" t="s">
        <v>234</v>
      </c>
      <c r="G20" s="2"/>
      <c r="H20" s="2"/>
      <c r="I20" s="2"/>
      <c r="J20" s="2"/>
      <c r="K20" s="2"/>
      <c r="L20" s="2"/>
      <c r="M20" s="2"/>
      <c r="N20" s="2"/>
      <c r="O20" s="2"/>
      <c r="P20" s="2"/>
      <c r="Q20" s="2"/>
      <c r="R20" s="2"/>
      <c r="S20" s="2"/>
      <c r="T20" s="2"/>
      <c r="U20" s="2"/>
      <c r="V20" s="2"/>
      <c r="W20" s="2"/>
      <c r="X20" s="2"/>
      <c r="Y20" s="2"/>
      <c r="Z20" s="2"/>
      <c r="AA20" s="2"/>
      <c r="AB20" s="2"/>
      <c r="AC20" s="2"/>
    </row>
    <row r="21">
      <c r="A21" s="129" t="s">
        <v>237</v>
      </c>
      <c r="B21" s="2"/>
      <c r="C21" s="2"/>
      <c r="D21" s="47"/>
      <c r="E21" s="47"/>
      <c r="F21" s="47" t="s">
        <v>234</v>
      </c>
      <c r="G21" s="2"/>
      <c r="H21" s="2"/>
      <c r="I21" s="2"/>
      <c r="J21" s="2"/>
      <c r="K21" s="2"/>
      <c r="L21" s="2"/>
      <c r="M21" s="2"/>
      <c r="N21" s="2"/>
      <c r="O21" s="2"/>
      <c r="P21" s="2"/>
      <c r="Q21" s="2"/>
      <c r="R21" s="2"/>
      <c r="S21" s="2"/>
      <c r="T21" s="2"/>
      <c r="U21" s="2"/>
      <c r="V21" s="2"/>
      <c r="W21" s="2"/>
      <c r="X21" s="2"/>
      <c r="Y21" s="2"/>
      <c r="Z21" s="2"/>
      <c r="AA21" s="2"/>
      <c r="AB21" s="2"/>
      <c r="AC21" s="2"/>
    </row>
    <row r="22">
      <c r="A22" s="129" t="s">
        <v>238</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129" t="s">
        <v>239</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129" t="s">
        <v>240</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129" t="s">
        <v>241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129" t="s">
        <v>242</v>
      </c>
      <c r="B26" s="2"/>
      <c r="C26" s="47"/>
      <c r="D26" s="47"/>
      <c r="E26" s="47"/>
      <c r="F26" s="47" t="s">
        <v>234</v>
      </c>
      <c r="G26" s="2"/>
      <c r="H26" s="2"/>
      <c r="I26" s="2"/>
      <c r="J26" s="2"/>
      <c r="K26" s="2"/>
      <c r="L26" s="2"/>
      <c r="M26" s="2"/>
      <c r="N26" s="2"/>
      <c r="O26" s="2"/>
      <c r="P26" s="2"/>
      <c r="Q26" s="2"/>
      <c r="R26" s="2"/>
      <c r="S26" s="2"/>
      <c r="T26" s="2"/>
      <c r="U26" s="2"/>
      <c r="V26" s="2"/>
      <c r="W26" s="2"/>
      <c r="X26" s="2"/>
      <c r="Y26" s="2"/>
      <c r="Z26" s="2"/>
      <c r="AA26" s="2"/>
      <c r="AB26" s="2"/>
      <c r="AC26" s="2"/>
    </row>
    <row r="27">
      <c r="A27" s="129" t="s">
        <v>243</v>
      </c>
      <c r="B27" s="2"/>
      <c r="C27" s="47"/>
      <c r="D27" s="47"/>
      <c r="E27" s="47"/>
      <c r="F27" s="47"/>
      <c r="G27" s="2"/>
      <c r="H27" s="2"/>
      <c r="I27" s="2"/>
      <c r="J27" s="2"/>
      <c r="K27" s="2"/>
      <c r="L27" s="2"/>
      <c r="M27" s="2"/>
      <c r="N27" s="2"/>
      <c r="O27" s="2"/>
      <c r="P27" s="2"/>
      <c r="Q27" s="2"/>
      <c r="R27" s="2"/>
      <c r="S27" s="2"/>
      <c r="T27" s="2"/>
      <c r="U27" s="2"/>
      <c r="V27" s="2"/>
      <c r="W27" s="2"/>
      <c r="X27" s="2"/>
      <c r="Y27" s="2"/>
      <c r="Z27" s="2"/>
      <c r="AA27" s="2"/>
      <c r="AB27" s="2"/>
      <c r="AC27" s="2"/>
    </row>
    <row r="28">
      <c r="A28" s="129" t="s">
        <v>21</v>
      </c>
      <c r="B28" s="2"/>
      <c r="C28" s="47"/>
      <c r="D28" s="47"/>
      <c r="E28" s="47"/>
      <c r="F28" s="47" t="s">
        <v>244</v>
      </c>
      <c r="G28" s="2"/>
      <c r="H28" s="2"/>
      <c r="I28" s="2"/>
      <c r="J28" s="2"/>
      <c r="K28" s="2"/>
      <c r="L28" s="2"/>
      <c r="M28" s="2"/>
      <c r="N28" s="2"/>
      <c r="O28" s="2"/>
      <c r="P28" s="2"/>
      <c r="Q28" s="2"/>
      <c r="R28" s="2"/>
      <c r="S28" s="2"/>
      <c r="T28" s="2"/>
      <c r="U28" s="2"/>
      <c r="V28" s="2"/>
      <c r="W28" s="2"/>
      <c r="X28" s="2"/>
      <c r="Y28" s="2"/>
      <c r="Z28" s="2"/>
      <c r="AA28" s="2"/>
      <c r="AB28" s="2"/>
      <c r="AC28" s="2"/>
    </row>
    <row r="29">
      <c r="A29" s="129" t="s">
        <v>245</v>
      </c>
      <c r="B29" s="2"/>
      <c r="C29" s="47"/>
      <c r="D29" s="47"/>
      <c r="E29" s="47"/>
      <c r="F29" s="47"/>
      <c r="G29" s="2"/>
      <c r="H29" s="2"/>
      <c r="I29" s="2"/>
      <c r="J29" s="2"/>
      <c r="K29" s="2"/>
      <c r="L29" s="2"/>
      <c r="M29" s="2"/>
      <c r="N29" s="2"/>
      <c r="O29" s="2"/>
      <c r="P29" s="2"/>
      <c r="Q29" s="2"/>
      <c r="R29" s="2"/>
      <c r="S29" s="2"/>
      <c r="T29" s="2"/>
      <c r="U29" s="2"/>
      <c r="V29" s="2"/>
      <c r="W29" s="2"/>
      <c r="X29" s="2"/>
      <c r="Y29" s="2"/>
      <c r="Z29" s="2"/>
      <c r="AA29" s="2"/>
      <c r="AB29" s="2"/>
      <c r="AC29" s="2"/>
    </row>
    <row r="30">
      <c r="A30" s="129" t="s">
        <v>22</v>
      </c>
      <c r="B30" s="2"/>
      <c r="C30" s="47"/>
      <c r="D30" s="47"/>
      <c r="E30" s="47"/>
      <c r="F30" s="47" t="s">
        <v>246</v>
      </c>
      <c r="G30" s="2"/>
      <c r="H30" s="2"/>
      <c r="I30" s="2"/>
      <c r="J30" s="2"/>
      <c r="K30" s="2"/>
      <c r="L30" s="2"/>
      <c r="M30" s="2"/>
      <c r="N30" s="2"/>
      <c r="O30" s="2"/>
      <c r="P30" s="2"/>
      <c r="Q30" s="2"/>
      <c r="R30" s="2"/>
      <c r="S30" s="2"/>
      <c r="T30" s="2"/>
      <c r="U30" s="2"/>
      <c r="V30" s="2"/>
      <c r="W30" s="2"/>
      <c r="X30" s="2"/>
      <c r="Y30" s="2"/>
      <c r="Z30" s="2"/>
      <c r="AA30" s="2"/>
      <c r="AB30" s="2"/>
      <c r="AC30" s="2"/>
    </row>
    <row r="31">
      <c r="A31" s="129" t="s">
        <v>247</v>
      </c>
      <c r="B31" s="2"/>
      <c r="C31" s="47"/>
      <c r="D31" s="47"/>
      <c r="E31" s="47"/>
      <c r="F31" s="47" t="s">
        <v>248</v>
      </c>
      <c r="G31" s="2"/>
      <c r="H31" s="2"/>
      <c r="I31" s="2"/>
      <c r="J31" s="2"/>
      <c r="K31" s="2"/>
      <c r="L31" s="2"/>
      <c r="M31" s="2"/>
      <c r="N31" s="2"/>
      <c r="O31" s="2"/>
      <c r="P31" s="2"/>
      <c r="Q31" s="2"/>
      <c r="R31" s="2"/>
      <c r="S31" s="2"/>
      <c r="T31" s="2"/>
      <c r="U31" s="2"/>
      <c r="V31" s="2"/>
      <c r="W31" s="2"/>
      <c r="X31" s="2"/>
      <c r="Y31" s="2"/>
      <c r="Z31" s="2"/>
      <c r="AA31" s="2"/>
      <c r="AB31" s="2"/>
      <c r="AC31" s="2"/>
    </row>
    <row r="32">
      <c r="A32" s="129" t="s">
        <v>249</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129" t="s">
        <v>250</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129" t="s">
        <v>25</v>
      </c>
      <c r="B34" s="2"/>
      <c r="C34" s="2"/>
      <c r="D34" s="2"/>
      <c r="E34" s="2"/>
      <c r="F34" s="47" t="s">
        <v>251</v>
      </c>
      <c r="G34" s="2"/>
      <c r="H34" s="2"/>
      <c r="I34" s="2"/>
      <c r="J34" s="2"/>
      <c r="K34" s="2"/>
      <c r="L34" s="2"/>
      <c r="M34" s="2"/>
      <c r="N34" s="2"/>
      <c r="O34" s="2"/>
      <c r="P34" s="2"/>
      <c r="Q34" s="2"/>
      <c r="R34" s="2"/>
      <c r="S34" s="2"/>
      <c r="T34" s="2"/>
      <c r="U34" s="2"/>
      <c r="V34" s="2"/>
      <c r="W34" s="2"/>
      <c r="X34" s="2"/>
      <c r="Y34" s="2"/>
      <c r="Z34" s="2"/>
      <c r="AA34" s="2"/>
      <c r="AB34" s="2"/>
      <c r="AC34" s="2"/>
    </row>
    <row r="35">
      <c r="A35" s="129" t="s">
        <v>252</v>
      </c>
      <c r="B35" s="2"/>
      <c r="C35" s="2"/>
      <c r="D35" s="47"/>
      <c r="E35" s="47"/>
      <c r="G35" s="2"/>
      <c r="H35" s="2"/>
      <c r="I35" s="2"/>
      <c r="J35" s="2"/>
      <c r="K35" s="2"/>
      <c r="L35" s="2"/>
      <c r="M35" s="2"/>
      <c r="N35" s="2"/>
      <c r="O35" s="2"/>
      <c r="P35" s="2"/>
      <c r="Q35" s="2"/>
      <c r="R35" s="2"/>
      <c r="S35" s="2"/>
      <c r="T35" s="2"/>
      <c r="U35" s="2"/>
      <c r="V35" s="2"/>
      <c r="W35" s="2"/>
      <c r="X35" s="2"/>
      <c r="Y35" s="2"/>
      <c r="Z35" s="2"/>
      <c r="AA35" s="2"/>
      <c r="AB35" s="2"/>
      <c r="AC35" s="2"/>
    </row>
    <row r="36">
      <c r="A36" s="129" t="s">
        <v>253</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129" t="s">
        <v>254</v>
      </c>
      <c r="B37" s="2"/>
      <c r="C37" s="47"/>
      <c r="D37" s="47"/>
      <c r="E37" s="47"/>
      <c r="F37" s="47"/>
      <c r="G37" s="2"/>
      <c r="H37" s="2"/>
      <c r="I37" s="2"/>
      <c r="J37" s="2"/>
      <c r="K37" s="2"/>
      <c r="L37" s="2"/>
      <c r="M37" s="2"/>
      <c r="N37" s="2"/>
      <c r="O37" s="2"/>
      <c r="P37" s="2"/>
      <c r="Q37" s="2"/>
      <c r="R37" s="2"/>
      <c r="S37" s="2"/>
      <c r="T37" s="2"/>
      <c r="U37" s="2"/>
      <c r="V37" s="2"/>
      <c r="W37" s="2"/>
      <c r="X37" s="2"/>
      <c r="Y37" s="2"/>
      <c r="Z37" s="2"/>
      <c r="AA37" s="2"/>
      <c r="AB37" s="2"/>
      <c r="AC37" s="2"/>
    </row>
    <row r="38">
      <c r="A38" s="129" t="s">
        <v>30</v>
      </c>
      <c r="B38" s="2"/>
      <c r="C38" s="47"/>
      <c r="D38" s="47"/>
      <c r="E38" s="47"/>
      <c r="F38" s="47"/>
      <c r="G38" s="2"/>
      <c r="H38" s="2"/>
      <c r="I38" s="2"/>
      <c r="J38" s="2"/>
      <c r="K38" s="2"/>
      <c r="L38" s="2"/>
      <c r="M38" s="2"/>
      <c r="N38" s="2"/>
      <c r="O38" s="2"/>
      <c r="P38" s="2"/>
      <c r="Q38" s="2"/>
      <c r="R38" s="2"/>
      <c r="S38" s="2"/>
      <c r="T38" s="2"/>
      <c r="U38" s="2"/>
      <c r="V38" s="2"/>
      <c r="W38" s="2"/>
      <c r="X38" s="2"/>
      <c r="Y38" s="2"/>
      <c r="Z38" s="2"/>
      <c r="AA38" s="2"/>
      <c r="AB38" s="2"/>
      <c r="AC38" s="2"/>
    </row>
    <row r="39">
      <c r="A39" s="129" t="s">
        <v>31</v>
      </c>
      <c r="B39" s="2"/>
      <c r="C39" s="47"/>
      <c r="D39" s="47"/>
      <c r="E39" s="47"/>
      <c r="F39" s="47"/>
      <c r="G39" s="2"/>
      <c r="H39" s="2"/>
      <c r="I39" s="2"/>
      <c r="J39" s="2"/>
      <c r="K39" s="2"/>
      <c r="L39" s="2"/>
      <c r="M39" s="2"/>
      <c r="N39" s="2"/>
      <c r="O39" s="2"/>
      <c r="P39" s="2"/>
      <c r="Q39" s="2"/>
      <c r="R39" s="2"/>
      <c r="S39" s="2"/>
      <c r="T39" s="2"/>
      <c r="U39" s="2"/>
      <c r="V39" s="2"/>
      <c r="W39" s="2"/>
      <c r="X39" s="2"/>
      <c r="Y39" s="2"/>
      <c r="Z39" s="2"/>
      <c r="AA39" s="2"/>
      <c r="AB39" s="2"/>
      <c r="AC39" s="2"/>
    </row>
    <row r="40">
      <c r="A40" s="132" t="s">
        <v>255</v>
      </c>
      <c r="B40" s="133" t="str">
        <f>'Required Info'!C32</f>
        <v/>
      </c>
      <c r="C40" s="136"/>
      <c r="D40" s="134"/>
      <c r="E40" s="134"/>
      <c r="F40" s="134" t="s">
        <v>230</v>
      </c>
      <c r="G40" s="2"/>
      <c r="H40" s="2"/>
      <c r="I40" s="2"/>
      <c r="J40" s="2"/>
      <c r="K40" s="2"/>
      <c r="L40" s="2"/>
      <c r="M40" s="2"/>
      <c r="N40" s="2"/>
      <c r="O40" s="2"/>
      <c r="P40" s="2"/>
      <c r="Q40" s="2"/>
      <c r="R40" s="2"/>
      <c r="S40" s="2"/>
      <c r="T40" s="2"/>
      <c r="U40" s="2"/>
      <c r="V40" s="2"/>
      <c r="W40" s="2"/>
      <c r="X40" s="2"/>
      <c r="Y40" s="2"/>
      <c r="Z40" s="2"/>
      <c r="AA40" s="2"/>
      <c r="AB40" s="2"/>
      <c r="AC40" s="2"/>
    </row>
    <row r="41">
      <c r="A41" s="129" t="s">
        <v>256</v>
      </c>
      <c r="B41" s="137"/>
      <c r="C41" s="2"/>
      <c r="D41" s="47"/>
      <c r="E41" s="47"/>
      <c r="F41" s="47" t="s">
        <v>257</v>
      </c>
      <c r="G41" s="2"/>
      <c r="H41" s="2"/>
      <c r="I41" s="2"/>
      <c r="J41" s="2"/>
      <c r="K41" s="2"/>
      <c r="L41" s="2"/>
      <c r="M41" s="2"/>
      <c r="N41" s="2"/>
      <c r="O41" s="2"/>
      <c r="P41" s="2"/>
      <c r="Q41" s="2"/>
      <c r="R41" s="2"/>
      <c r="S41" s="2"/>
      <c r="T41" s="2"/>
      <c r="U41" s="2"/>
      <c r="V41" s="2"/>
      <c r="W41" s="2"/>
      <c r="X41" s="2"/>
      <c r="Y41" s="2"/>
      <c r="Z41" s="2"/>
      <c r="AA41" s="2"/>
      <c r="AB41" s="2"/>
      <c r="AC41" s="2"/>
    </row>
    <row r="42">
      <c r="A42" s="128"/>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128"/>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128"/>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128"/>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128"/>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128"/>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128"/>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128"/>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128"/>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128"/>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128"/>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128"/>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128"/>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128"/>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128"/>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128"/>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128"/>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128"/>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128"/>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128"/>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128"/>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128"/>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128"/>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128"/>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128"/>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128"/>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128"/>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128"/>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128"/>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128"/>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128"/>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128"/>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128"/>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128"/>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128"/>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128"/>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128"/>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128"/>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128"/>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128"/>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128"/>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128"/>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128"/>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128"/>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128"/>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128"/>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128"/>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128"/>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128"/>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128"/>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128"/>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128"/>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128"/>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128"/>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128"/>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128"/>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128"/>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128"/>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128"/>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28"/>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28"/>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28"/>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28"/>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28"/>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28"/>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28"/>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2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28"/>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28"/>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28"/>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28"/>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28"/>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28"/>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28"/>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28"/>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28"/>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2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28"/>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28"/>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28"/>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128"/>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128"/>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128"/>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128"/>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128"/>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128"/>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128"/>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128"/>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128"/>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128"/>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128"/>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128"/>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128"/>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128"/>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128"/>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12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128"/>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128"/>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128"/>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128"/>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128"/>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128"/>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28"/>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28"/>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28"/>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2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28"/>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128"/>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128"/>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128"/>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128"/>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128"/>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128"/>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128"/>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128"/>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12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28"/>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128"/>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128"/>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128"/>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28"/>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28"/>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28"/>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28"/>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28"/>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12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28"/>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128"/>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128"/>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128"/>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128"/>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128"/>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128"/>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128"/>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128"/>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12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128"/>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28"/>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28"/>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28"/>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28"/>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28"/>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28"/>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28"/>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28"/>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2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28"/>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28"/>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28"/>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28"/>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28"/>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28"/>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28"/>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28"/>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28"/>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2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28"/>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28"/>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28"/>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28"/>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28"/>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28"/>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28"/>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28"/>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28"/>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2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28"/>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28"/>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28"/>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28"/>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28"/>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28"/>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28"/>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28"/>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28"/>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2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28"/>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28"/>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28"/>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28"/>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28"/>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28"/>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28"/>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28"/>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28"/>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28"/>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28"/>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28"/>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28"/>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28"/>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28"/>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28"/>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28"/>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28"/>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2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28"/>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28"/>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28"/>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28"/>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28"/>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28"/>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28"/>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28"/>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28"/>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2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28"/>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28"/>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28"/>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28"/>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28"/>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28"/>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28"/>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28"/>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28"/>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2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28"/>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28"/>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28"/>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28"/>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28"/>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28"/>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28"/>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28"/>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28"/>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2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28"/>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28"/>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28"/>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28"/>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28"/>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28"/>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28"/>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28"/>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28"/>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2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28"/>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28"/>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28"/>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28"/>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28"/>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28"/>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28"/>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28"/>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28"/>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2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28"/>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28"/>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28"/>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28"/>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28"/>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28"/>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28"/>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28"/>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28"/>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2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28"/>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28"/>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28"/>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28"/>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28"/>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28"/>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28"/>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28"/>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28"/>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2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28"/>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28"/>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28"/>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28"/>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28"/>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28"/>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28"/>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28"/>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28"/>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2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28"/>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28"/>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28"/>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28"/>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28"/>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28"/>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28"/>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28"/>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28"/>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28"/>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28"/>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28"/>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28"/>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28"/>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28"/>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28"/>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28"/>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28"/>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2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28"/>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28"/>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28"/>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28"/>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28"/>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28"/>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28"/>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28"/>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28"/>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2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28"/>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28"/>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28"/>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28"/>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28"/>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28"/>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28"/>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28"/>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28"/>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2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28"/>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28"/>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28"/>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28"/>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28"/>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28"/>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28"/>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28"/>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28"/>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2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28"/>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28"/>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28"/>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28"/>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28"/>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28"/>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28"/>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28"/>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28"/>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2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28"/>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28"/>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28"/>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28"/>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28"/>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28"/>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28"/>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28"/>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28"/>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2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28"/>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28"/>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28"/>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28"/>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28"/>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28"/>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28"/>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28"/>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28"/>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2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28"/>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28"/>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28"/>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28"/>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28"/>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28"/>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28"/>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28"/>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28"/>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2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28"/>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28"/>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28"/>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28"/>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28"/>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28"/>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28"/>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28"/>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28"/>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2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28"/>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28"/>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28"/>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28"/>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28"/>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28"/>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28"/>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28"/>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28"/>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28"/>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28"/>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28"/>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28"/>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28"/>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28"/>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28"/>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28"/>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28"/>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2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28"/>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28"/>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28"/>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28"/>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28"/>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28"/>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28"/>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28"/>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28"/>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2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28"/>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28"/>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28"/>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28"/>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28"/>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28"/>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28"/>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28"/>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28"/>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2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28"/>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28"/>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28"/>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28"/>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28"/>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28"/>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28"/>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28"/>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28"/>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2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28"/>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28"/>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28"/>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28"/>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28"/>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28"/>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28"/>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28"/>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28"/>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2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28"/>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28"/>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28"/>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28"/>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28"/>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28"/>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28"/>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28"/>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28"/>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2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28"/>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28"/>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28"/>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28"/>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28"/>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28"/>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28"/>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28"/>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28"/>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2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28"/>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28"/>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28"/>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28"/>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28"/>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28"/>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28"/>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28"/>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28"/>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2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28"/>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28"/>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28"/>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28"/>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28"/>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28"/>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28"/>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28"/>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28"/>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2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28"/>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28"/>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28"/>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28"/>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28"/>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28"/>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28"/>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28"/>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28"/>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28"/>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28"/>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28"/>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28"/>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28"/>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28"/>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28"/>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28"/>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28"/>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2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28"/>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28"/>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28"/>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28"/>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28"/>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28"/>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28"/>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28"/>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28"/>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2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28"/>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28"/>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28"/>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28"/>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28"/>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28"/>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28"/>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28"/>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28"/>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2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28"/>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28"/>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28"/>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28"/>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28"/>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28"/>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28"/>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28"/>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28"/>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2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28"/>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28"/>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28"/>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28"/>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28"/>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28"/>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28"/>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28"/>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28"/>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2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28"/>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28"/>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28"/>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28"/>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28"/>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28"/>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28"/>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28"/>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28"/>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2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28"/>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28"/>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28"/>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28"/>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28"/>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28"/>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28"/>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28"/>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28"/>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2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28"/>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28"/>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28"/>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28"/>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28"/>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28"/>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28"/>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28"/>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28"/>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2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28"/>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28"/>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28"/>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28"/>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28"/>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28"/>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28"/>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28"/>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28"/>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2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28"/>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28"/>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28"/>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28"/>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28"/>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28"/>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28"/>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28"/>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28"/>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28"/>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28"/>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28"/>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28"/>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28"/>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28"/>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28"/>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28"/>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28"/>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2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28"/>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28"/>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28"/>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28"/>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28"/>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28"/>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28"/>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28"/>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28"/>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2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28"/>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28"/>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28"/>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28"/>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28"/>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28"/>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28"/>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28"/>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28"/>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2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28"/>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28"/>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28"/>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28"/>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28"/>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28"/>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28"/>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28"/>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28"/>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2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28"/>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28"/>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28"/>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28"/>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28"/>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28"/>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28"/>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28"/>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28"/>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2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28"/>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28"/>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28"/>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28"/>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28"/>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28"/>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28"/>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28"/>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28"/>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2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28"/>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28"/>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28"/>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28"/>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28"/>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28"/>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28"/>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28"/>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28"/>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2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28"/>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28"/>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28"/>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28"/>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28"/>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28"/>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28"/>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28"/>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28"/>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2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28"/>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28"/>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28"/>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28"/>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28"/>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28"/>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28"/>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28"/>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28"/>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2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28"/>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28"/>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28"/>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28"/>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28"/>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28"/>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28"/>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28"/>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28"/>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28"/>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28"/>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28"/>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28"/>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28"/>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28"/>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28"/>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28"/>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28"/>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2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28"/>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28"/>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28"/>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28"/>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28"/>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28"/>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28"/>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28"/>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28"/>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2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28"/>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28"/>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28"/>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28"/>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28"/>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28"/>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28"/>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28"/>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28"/>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2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28"/>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28"/>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28"/>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28"/>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28"/>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28"/>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28"/>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28"/>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28"/>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2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28"/>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28"/>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28"/>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28"/>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28"/>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28"/>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28"/>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28"/>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28"/>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2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28"/>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28"/>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28"/>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28"/>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28"/>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28"/>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28"/>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28"/>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28"/>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2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28"/>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28"/>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28"/>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28"/>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28"/>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28"/>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28"/>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28"/>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28"/>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2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28"/>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28"/>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28"/>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28"/>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28"/>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28"/>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28"/>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28"/>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28"/>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2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28"/>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28"/>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28"/>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28"/>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28"/>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28"/>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28"/>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28"/>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28"/>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2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28"/>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28"/>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28"/>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28"/>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28"/>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28"/>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28"/>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28"/>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28"/>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28"/>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28"/>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28"/>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28"/>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28"/>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28"/>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28"/>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28"/>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28"/>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2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28"/>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28"/>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28"/>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28"/>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28"/>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28"/>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28"/>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28"/>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28"/>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2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28"/>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28"/>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28"/>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28"/>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28"/>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28"/>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28"/>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28"/>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28"/>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2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28"/>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28"/>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28"/>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28"/>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28"/>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28"/>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28"/>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28"/>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28"/>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2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28"/>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28"/>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28"/>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28"/>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28"/>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28"/>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28"/>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28"/>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28"/>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2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28"/>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28"/>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28"/>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28"/>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28"/>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28"/>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28"/>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28"/>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28"/>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2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28"/>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28"/>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28"/>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28"/>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28"/>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28"/>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28"/>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28"/>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28"/>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2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28"/>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28"/>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28"/>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28"/>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28"/>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28"/>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28"/>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28"/>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28"/>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2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28"/>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28"/>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28"/>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28"/>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28"/>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28"/>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28"/>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28"/>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28"/>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2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28"/>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28"/>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28"/>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28"/>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28"/>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28"/>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28"/>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28"/>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28"/>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28"/>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28"/>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28"/>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28"/>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28"/>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28"/>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28"/>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28"/>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28"/>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2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28"/>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28"/>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28"/>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28"/>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28"/>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28"/>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28"/>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28"/>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28"/>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2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28"/>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28"/>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28"/>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28"/>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28"/>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28"/>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28"/>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28"/>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28"/>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2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28"/>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28"/>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28"/>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28"/>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28"/>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28"/>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28"/>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28"/>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28"/>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2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28"/>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28"/>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28"/>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28"/>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28"/>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28"/>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28"/>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28"/>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28"/>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2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28"/>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28"/>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28"/>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28"/>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28"/>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28"/>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28"/>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28"/>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28"/>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2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28"/>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28"/>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28"/>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28"/>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28"/>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28"/>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28"/>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128"/>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128"/>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12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128"/>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128"/>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128"/>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128"/>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128"/>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128"/>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128"/>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128"/>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128"/>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128"/>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128"/>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128"/>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128"/>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128"/>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128"/>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128"/>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128"/>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128"/>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128"/>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128"/>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128"/>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128"/>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sheetData>
  <mergeCells count="3">
    <mergeCell ref="A2:H2"/>
    <mergeCell ref="A4:B4"/>
    <mergeCell ref="A5:F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13"/>
    <col customWidth="1" min="3" max="3" width="21.38"/>
    <col customWidth="1" min="4" max="4" width="20.63"/>
    <col customWidth="1" min="5" max="5" width="17.5"/>
    <col customWidth="1" min="6" max="6" width="41.38"/>
  </cols>
  <sheetData>
    <row r="2">
      <c r="A2" s="110" t="s">
        <v>258</v>
      </c>
    </row>
    <row r="4">
      <c r="A4" s="32" t="s">
        <v>201</v>
      </c>
      <c r="C4" s="2"/>
      <c r="D4" s="2"/>
      <c r="E4" s="2"/>
      <c r="F4" s="2"/>
    </row>
    <row r="5">
      <c r="A5" s="124" t="s">
        <v>259</v>
      </c>
    </row>
    <row r="8">
      <c r="A8" s="138"/>
      <c r="B8" s="138"/>
      <c r="C8" s="138"/>
      <c r="D8" s="138"/>
      <c r="E8" s="138"/>
      <c r="F8" s="138"/>
    </row>
    <row r="9">
      <c r="A9" s="139" t="s">
        <v>260</v>
      </c>
      <c r="B9" s="139" t="s">
        <v>261</v>
      </c>
      <c r="C9" s="139" t="s">
        <v>262</v>
      </c>
      <c r="D9" s="139" t="s">
        <v>263</v>
      </c>
      <c r="E9" s="139" t="s">
        <v>264</v>
      </c>
      <c r="F9" s="139" t="s">
        <v>265</v>
      </c>
    </row>
    <row r="10">
      <c r="A10" s="125" t="s">
        <v>266</v>
      </c>
      <c r="B10" s="140"/>
      <c r="C10" s="141"/>
      <c r="D10" s="141"/>
      <c r="E10" s="141"/>
      <c r="F10" s="141"/>
    </row>
    <row r="11">
      <c r="A11" s="125" t="s">
        <v>267</v>
      </c>
      <c r="B11" s="58"/>
      <c r="C11" s="58"/>
      <c r="D11" s="58"/>
      <c r="E11" s="58"/>
      <c r="F11" s="58"/>
    </row>
    <row r="12">
      <c r="A12" s="125" t="s">
        <v>268</v>
      </c>
      <c r="B12" s="58"/>
      <c r="C12" s="58"/>
      <c r="D12" s="58"/>
      <c r="E12" s="58"/>
      <c r="F12" s="58"/>
    </row>
    <row r="13">
      <c r="A13" s="125" t="s">
        <v>269</v>
      </c>
      <c r="B13" s="58"/>
      <c r="C13" s="58"/>
      <c r="D13" s="58"/>
      <c r="E13" s="58"/>
      <c r="F13" s="58"/>
    </row>
    <row r="14">
      <c r="A14" s="125" t="s">
        <v>270</v>
      </c>
      <c r="B14" s="58"/>
      <c r="C14" s="58"/>
      <c r="D14" s="58"/>
      <c r="E14" s="58"/>
      <c r="F14" s="58"/>
    </row>
    <row r="15">
      <c r="A15" s="125" t="s">
        <v>271</v>
      </c>
      <c r="B15" s="58"/>
      <c r="C15" s="58"/>
      <c r="D15" s="58"/>
      <c r="E15" s="58"/>
      <c r="F15" s="58"/>
    </row>
    <row r="16">
      <c r="A16" s="58"/>
      <c r="B16" s="58"/>
      <c r="C16" s="58"/>
      <c r="D16" s="58"/>
      <c r="E16" s="58"/>
      <c r="F16" s="58"/>
    </row>
    <row r="17">
      <c r="A17" s="58"/>
      <c r="B17" s="58"/>
      <c r="C17" s="58"/>
      <c r="D17" s="58"/>
      <c r="E17" s="58"/>
      <c r="F17" s="58"/>
    </row>
    <row r="18">
      <c r="A18" s="58"/>
      <c r="B18" s="58"/>
      <c r="C18" s="58"/>
      <c r="D18" s="58"/>
      <c r="E18" s="58"/>
      <c r="F18" s="58"/>
    </row>
    <row r="19">
      <c r="A19" s="58"/>
      <c r="B19" s="58"/>
      <c r="C19" s="58"/>
      <c r="D19" s="58"/>
      <c r="E19" s="58"/>
      <c r="F19" s="58"/>
    </row>
  </sheetData>
  <mergeCells count="3">
    <mergeCell ref="A2:G2"/>
    <mergeCell ref="A4:B4"/>
    <mergeCell ref="A5:F7"/>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4" max="4" width="16.63"/>
    <col customWidth="1" min="5" max="5" width="72.0"/>
    <col customWidth="1" min="6" max="6" width="5.0"/>
    <col customWidth="1" min="9" max="9" width="14.0"/>
  </cols>
  <sheetData>
    <row r="2">
      <c r="A2" s="110" t="s">
        <v>272</v>
      </c>
    </row>
    <row r="3">
      <c r="A3" s="142" t="s">
        <v>273</v>
      </c>
    </row>
    <row r="6">
      <c r="A6" s="139" t="s">
        <v>274</v>
      </c>
      <c r="B6" s="139" t="s">
        <v>275</v>
      </c>
      <c r="C6" s="139" t="s">
        <v>276</v>
      </c>
      <c r="D6" s="139" t="s">
        <v>277</v>
      </c>
      <c r="E6" s="139" t="s">
        <v>278</v>
      </c>
      <c r="F6" s="143"/>
      <c r="G6" s="143"/>
      <c r="H6" s="143"/>
      <c r="I6" s="143"/>
      <c r="J6" s="143"/>
      <c r="K6" s="143"/>
      <c r="L6" s="143"/>
      <c r="M6" s="143"/>
      <c r="N6" s="143"/>
      <c r="O6" s="143"/>
      <c r="P6" s="143"/>
      <c r="Q6" s="143"/>
      <c r="R6" s="143"/>
      <c r="S6" s="143"/>
      <c r="T6" s="143"/>
      <c r="U6" s="143"/>
      <c r="V6" s="143"/>
      <c r="W6" s="143"/>
      <c r="X6" s="143"/>
      <c r="Y6" s="143"/>
      <c r="Z6" s="143"/>
    </row>
    <row r="7">
      <c r="A7" s="141" t="s">
        <v>279</v>
      </c>
      <c r="B7" s="58"/>
      <c r="C7" s="58"/>
      <c r="D7" s="58"/>
      <c r="E7" s="141"/>
    </row>
    <row r="8">
      <c r="A8" s="144" t="s">
        <v>280</v>
      </c>
      <c r="B8" s="102"/>
      <c r="C8" s="102"/>
      <c r="D8" s="102"/>
      <c r="E8" s="145"/>
      <c r="F8" s="103"/>
      <c r="G8" s="146" t="s">
        <v>281</v>
      </c>
      <c r="J8" s="103"/>
      <c r="K8" s="103"/>
      <c r="L8" s="103"/>
      <c r="M8" s="103"/>
      <c r="N8" s="103"/>
      <c r="O8" s="103"/>
      <c r="P8" s="103"/>
      <c r="Q8" s="103"/>
      <c r="R8" s="103"/>
      <c r="S8" s="103"/>
      <c r="T8" s="103"/>
      <c r="U8" s="103"/>
      <c r="V8" s="103"/>
      <c r="W8" s="103"/>
      <c r="X8" s="103"/>
      <c r="Y8" s="103"/>
      <c r="Z8" s="103"/>
    </row>
    <row r="9">
      <c r="A9" s="144" t="s">
        <v>282</v>
      </c>
      <c r="B9" s="102"/>
      <c r="C9" s="102"/>
      <c r="D9" s="102"/>
      <c r="E9" s="145" t="s">
        <v>283</v>
      </c>
      <c r="F9" s="103"/>
      <c r="G9" s="147" t="s">
        <v>284</v>
      </c>
      <c r="J9" s="103"/>
      <c r="K9" s="103"/>
      <c r="L9" s="103"/>
      <c r="M9" s="103"/>
      <c r="N9" s="103"/>
      <c r="O9" s="103"/>
      <c r="P9" s="103"/>
      <c r="Q9" s="103"/>
      <c r="R9" s="103"/>
      <c r="S9" s="103"/>
      <c r="T9" s="103"/>
      <c r="U9" s="103"/>
      <c r="V9" s="103"/>
      <c r="W9" s="103"/>
      <c r="X9" s="103"/>
      <c r="Y9" s="103"/>
      <c r="Z9" s="103"/>
    </row>
    <row r="10">
      <c r="A10" s="144" t="s">
        <v>285</v>
      </c>
      <c r="B10" s="102"/>
      <c r="C10" s="102"/>
      <c r="D10" s="102"/>
      <c r="E10" s="145" t="s">
        <v>286</v>
      </c>
      <c r="F10" s="103"/>
      <c r="G10" s="147"/>
      <c r="J10" s="103"/>
      <c r="K10" s="103"/>
      <c r="L10" s="103"/>
      <c r="M10" s="103"/>
      <c r="N10" s="103"/>
      <c r="O10" s="103"/>
      <c r="P10" s="103"/>
      <c r="Q10" s="103"/>
      <c r="R10" s="103"/>
      <c r="S10" s="103"/>
      <c r="T10" s="103"/>
      <c r="U10" s="103"/>
      <c r="V10" s="103"/>
      <c r="W10" s="103"/>
      <c r="X10" s="103"/>
      <c r="Y10" s="103"/>
      <c r="Z10" s="103"/>
    </row>
    <row r="11">
      <c r="A11" s="144" t="s">
        <v>287</v>
      </c>
      <c r="B11" s="102"/>
      <c r="C11" s="102"/>
      <c r="D11" s="102"/>
      <c r="E11" s="145" t="s">
        <v>288</v>
      </c>
      <c r="F11" s="103"/>
      <c r="G11" s="103"/>
      <c r="H11" s="103"/>
      <c r="I11" s="103"/>
      <c r="J11" s="103"/>
      <c r="K11" s="103"/>
      <c r="L11" s="103"/>
      <c r="M11" s="103"/>
      <c r="N11" s="103"/>
      <c r="O11" s="103"/>
      <c r="P11" s="103"/>
      <c r="Q11" s="103"/>
      <c r="R11" s="103"/>
      <c r="S11" s="103"/>
      <c r="T11" s="103"/>
      <c r="U11" s="103"/>
      <c r="V11" s="103"/>
      <c r="W11" s="103"/>
      <c r="X11" s="103"/>
      <c r="Y11" s="103"/>
      <c r="Z11" s="103"/>
    </row>
    <row r="12">
      <c r="A12" s="144" t="s">
        <v>289</v>
      </c>
      <c r="B12" s="102"/>
      <c r="C12" s="102"/>
      <c r="D12" s="102"/>
      <c r="E12" s="102"/>
      <c r="F12" s="103"/>
      <c r="G12" s="103"/>
      <c r="H12" s="103"/>
      <c r="I12" s="103"/>
      <c r="J12" s="103"/>
      <c r="K12" s="103"/>
      <c r="L12" s="103"/>
      <c r="M12" s="103"/>
      <c r="N12" s="103"/>
      <c r="O12" s="103"/>
      <c r="P12" s="103"/>
      <c r="Q12" s="103"/>
      <c r="R12" s="103"/>
      <c r="S12" s="103"/>
      <c r="T12" s="103"/>
      <c r="U12" s="103"/>
      <c r="V12" s="103"/>
      <c r="W12" s="103"/>
      <c r="X12" s="103"/>
      <c r="Y12" s="103"/>
      <c r="Z12" s="103"/>
    </row>
    <row r="13">
      <c r="A13" s="144" t="s">
        <v>290</v>
      </c>
      <c r="B13" s="102"/>
      <c r="C13" s="102"/>
      <c r="D13" s="102"/>
      <c r="E13" s="112" t="s">
        <v>291</v>
      </c>
      <c r="F13" s="103"/>
      <c r="G13" s="103"/>
      <c r="H13" s="103"/>
      <c r="I13" s="103"/>
      <c r="J13" s="103"/>
      <c r="K13" s="103"/>
      <c r="L13" s="103"/>
      <c r="M13" s="103"/>
      <c r="N13" s="103"/>
      <c r="O13" s="103"/>
      <c r="P13" s="103"/>
      <c r="Q13" s="103"/>
      <c r="R13" s="103"/>
      <c r="S13" s="103"/>
      <c r="T13" s="103"/>
      <c r="U13" s="103"/>
      <c r="V13" s="103"/>
      <c r="W13" s="103"/>
      <c r="X13" s="103"/>
      <c r="Y13" s="103"/>
      <c r="Z13" s="103"/>
    </row>
    <row r="14">
      <c r="A14" s="144" t="s">
        <v>292</v>
      </c>
      <c r="B14" s="102"/>
      <c r="C14" s="102"/>
      <c r="D14" s="102"/>
      <c r="E14" s="145" t="s">
        <v>293</v>
      </c>
      <c r="F14" s="103"/>
      <c r="G14" s="103"/>
      <c r="H14" s="103"/>
      <c r="I14" s="103"/>
      <c r="J14" s="103"/>
      <c r="K14" s="103"/>
      <c r="L14" s="103"/>
      <c r="M14" s="103"/>
      <c r="N14" s="103"/>
      <c r="O14" s="103"/>
      <c r="P14" s="103"/>
      <c r="Q14" s="103"/>
      <c r="R14" s="103"/>
      <c r="S14" s="103"/>
      <c r="T14" s="103"/>
      <c r="U14" s="103"/>
      <c r="V14" s="103"/>
      <c r="W14" s="103"/>
      <c r="X14" s="103"/>
      <c r="Y14" s="103"/>
      <c r="Z14" s="103"/>
    </row>
    <row r="15">
      <c r="A15" s="144" t="s">
        <v>294</v>
      </c>
      <c r="B15" s="102"/>
      <c r="C15" s="102"/>
      <c r="D15" s="102"/>
      <c r="E15" s="145" t="s">
        <v>293</v>
      </c>
      <c r="F15" s="103"/>
      <c r="G15" s="103"/>
      <c r="H15" s="103"/>
      <c r="I15" s="103"/>
      <c r="J15" s="103"/>
      <c r="K15" s="103"/>
      <c r="L15" s="103"/>
      <c r="M15" s="103"/>
      <c r="N15" s="103"/>
      <c r="O15" s="103"/>
      <c r="P15" s="103"/>
      <c r="Q15" s="103"/>
      <c r="R15" s="103"/>
      <c r="S15" s="103"/>
      <c r="T15" s="103"/>
      <c r="U15" s="103"/>
      <c r="V15" s="103"/>
      <c r="W15" s="103"/>
      <c r="X15" s="103"/>
      <c r="Y15" s="103"/>
      <c r="Z15" s="103"/>
    </row>
    <row r="16">
      <c r="A16" s="141" t="s">
        <v>295</v>
      </c>
      <c r="B16" s="58"/>
      <c r="C16" s="58"/>
      <c r="D16" s="58"/>
      <c r="E16" s="125" t="s">
        <v>296</v>
      </c>
    </row>
    <row r="17">
      <c r="A17" s="144" t="s">
        <v>297</v>
      </c>
      <c r="B17" s="58"/>
      <c r="C17" s="58"/>
      <c r="D17" s="58"/>
      <c r="E17" s="125" t="s">
        <v>298</v>
      </c>
    </row>
    <row r="18">
      <c r="A18" s="141" t="s">
        <v>299</v>
      </c>
      <c r="B18" s="58"/>
      <c r="C18" s="58"/>
      <c r="D18" s="58"/>
      <c r="E18" s="125" t="s">
        <v>300</v>
      </c>
    </row>
    <row r="19">
      <c r="A19" s="141" t="s">
        <v>301</v>
      </c>
      <c r="B19" s="58"/>
      <c r="C19" s="58"/>
      <c r="D19" s="58"/>
      <c r="E19" s="58"/>
    </row>
    <row r="20">
      <c r="A20" s="141" t="s">
        <v>302</v>
      </c>
      <c r="B20" s="58"/>
      <c r="C20" s="58"/>
      <c r="D20" s="58"/>
      <c r="E20" s="58"/>
    </row>
    <row r="21">
      <c r="A21" s="141" t="s">
        <v>303</v>
      </c>
      <c r="B21" s="58"/>
      <c r="C21" s="58"/>
      <c r="D21" s="58"/>
      <c r="E21" s="125" t="s">
        <v>304</v>
      </c>
    </row>
    <row r="22">
      <c r="A22" s="141" t="s">
        <v>305</v>
      </c>
      <c r="B22" s="58"/>
      <c r="C22" s="58"/>
      <c r="D22" s="58"/>
      <c r="E22" s="58"/>
    </row>
    <row r="23">
      <c r="A23" s="141" t="s">
        <v>306</v>
      </c>
      <c r="B23" s="58"/>
      <c r="C23" s="58"/>
      <c r="D23" s="58"/>
      <c r="E23" s="58"/>
    </row>
    <row r="24">
      <c r="A24" s="141" t="s">
        <v>307</v>
      </c>
      <c r="B24" s="58"/>
      <c r="C24" s="58"/>
      <c r="D24" s="58"/>
      <c r="E24" s="58"/>
    </row>
    <row r="25">
      <c r="A25" s="141" t="s">
        <v>308</v>
      </c>
      <c r="B25" s="58"/>
      <c r="C25" s="58"/>
      <c r="D25" s="58"/>
      <c r="E25" s="58"/>
    </row>
    <row r="26">
      <c r="A26" s="144" t="s">
        <v>309</v>
      </c>
      <c r="B26" s="148" t="str">
        <f>'Required Info'!C11</f>
        <v/>
      </c>
      <c r="C26" s="58"/>
      <c r="D26" s="58"/>
      <c r="E26" s="58"/>
    </row>
    <row r="27">
      <c r="A27" s="141" t="s">
        <v>310</v>
      </c>
      <c r="B27" s="58"/>
      <c r="C27" s="58"/>
      <c r="D27" s="58"/>
      <c r="E27" s="58"/>
    </row>
    <row r="28">
      <c r="A28" s="141" t="s">
        <v>311</v>
      </c>
      <c r="B28" s="58"/>
      <c r="C28" s="58"/>
      <c r="D28" s="58"/>
      <c r="E28" s="58"/>
    </row>
    <row r="29">
      <c r="A29" s="141" t="s">
        <v>312</v>
      </c>
      <c r="B29" s="58"/>
      <c r="C29" s="58"/>
      <c r="D29" s="58"/>
      <c r="E29" s="58"/>
    </row>
    <row r="30">
      <c r="A30" s="141" t="s">
        <v>313</v>
      </c>
      <c r="B30" s="58"/>
      <c r="C30" s="58"/>
      <c r="D30" s="58"/>
      <c r="E30" s="58"/>
    </row>
    <row r="31">
      <c r="A31" s="58"/>
      <c r="B31" s="58"/>
      <c r="C31" s="58"/>
      <c r="D31" s="58"/>
      <c r="E31" s="58"/>
    </row>
    <row r="32">
      <c r="A32" s="58"/>
      <c r="B32" s="58"/>
      <c r="C32" s="58"/>
      <c r="D32" s="58"/>
      <c r="E32" s="58"/>
    </row>
    <row r="33">
      <c r="A33" s="58"/>
      <c r="B33" s="58"/>
      <c r="C33" s="58"/>
      <c r="D33" s="58"/>
      <c r="E33" s="58"/>
    </row>
    <row r="34">
      <c r="A34" s="58"/>
      <c r="B34" s="58"/>
      <c r="C34" s="58"/>
      <c r="D34" s="58"/>
      <c r="E34" s="58"/>
    </row>
    <row r="35">
      <c r="A35" s="58"/>
      <c r="B35" s="58"/>
      <c r="C35" s="58"/>
      <c r="D35" s="58"/>
      <c r="E35" s="58"/>
    </row>
    <row r="36">
      <c r="A36" s="58"/>
      <c r="B36" s="58"/>
      <c r="C36" s="58"/>
      <c r="D36" s="58"/>
      <c r="E36" s="58"/>
    </row>
    <row r="37">
      <c r="A37" s="58"/>
      <c r="B37" s="58"/>
      <c r="C37" s="58"/>
      <c r="D37" s="58"/>
      <c r="E37" s="58"/>
    </row>
    <row r="38">
      <c r="A38" s="58"/>
      <c r="B38" s="58"/>
      <c r="C38" s="58"/>
      <c r="D38" s="58"/>
      <c r="E38" s="58"/>
    </row>
    <row r="39">
      <c r="A39" s="58"/>
      <c r="B39" s="58"/>
      <c r="C39" s="58"/>
      <c r="D39" s="58"/>
      <c r="E39" s="58"/>
    </row>
    <row r="40">
      <c r="A40" s="58"/>
      <c r="B40" s="58"/>
      <c r="C40" s="58"/>
      <c r="D40" s="58"/>
      <c r="E40" s="58"/>
    </row>
    <row r="41">
      <c r="A41" s="58"/>
      <c r="B41" s="58"/>
      <c r="C41" s="58"/>
      <c r="D41" s="58"/>
      <c r="E41" s="58"/>
    </row>
    <row r="42">
      <c r="A42" s="58"/>
      <c r="B42" s="58"/>
      <c r="C42" s="58"/>
      <c r="D42" s="58"/>
      <c r="E42" s="58"/>
    </row>
    <row r="43">
      <c r="A43" s="58"/>
      <c r="B43" s="58"/>
      <c r="C43" s="58"/>
      <c r="D43" s="58"/>
      <c r="E43" s="58"/>
    </row>
    <row r="44">
      <c r="A44" s="58"/>
      <c r="B44" s="58"/>
      <c r="C44" s="58"/>
      <c r="D44" s="58"/>
      <c r="E44" s="58"/>
    </row>
    <row r="45">
      <c r="A45" s="58"/>
      <c r="B45" s="58"/>
      <c r="C45" s="58"/>
      <c r="D45" s="58"/>
      <c r="E45" s="58"/>
    </row>
    <row r="46">
      <c r="A46" s="58"/>
      <c r="B46" s="58"/>
      <c r="C46" s="58"/>
      <c r="D46" s="58"/>
      <c r="E46" s="58"/>
    </row>
    <row r="47">
      <c r="A47" s="58"/>
      <c r="B47" s="58"/>
      <c r="C47" s="58"/>
      <c r="D47" s="58"/>
      <c r="E47" s="58"/>
    </row>
    <row r="48">
      <c r="A48" s="58"/>
      <c r="B48" s="58"/>
      <c r="C48" s="58"/>
      <c r="D48" s="58"/>
      <c r="E48" s="58"/>
    </row>
  </sheetData>
  <mergeCells count="5">
    <mergeCell ref="A2:F2"/>
    <mergeCell ref="A3:C3"/>
    <mergeCell ref="G8:I8"/>
    <mergeCell ref="G9:I9"/>
    <mergeCell ref="G10:I10"/>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0.75"/>
    <col customWidth="1" min="3" max="3" width="8.75"/>
    <col customWidth="1" min="4" max="4" width="7.5"/>
    <col customWidth="1" min="5" max="5" width="14.13"/>
    <col customWidth="1" min="6" max="6" width="9.88"/>
    <col customWidth="1" min="7" max="7" width="11.13"/>
    <col customWidth="1" min="8" max="8" width="24.88"/>
    <col customWidth="1" min="10" max="10" width="5.75"/>
    <col customWidth="1" min="13" max="13" width="26.38"/>
    <col customWidth="1" min="17" max="17" width="15.38"/>
  </cols>
  <sheetData>
    <row r="2">
      <c r="A2" s="18" t="s">
        <v>314</v>
      </c>
      <c r="F2" s="18"/>
    </row>
    <row r="3">
      <c r="A3" s="142" t="s">
        <v>315</v>
      </c>
    </row>
    <row r="5">
      <c r="A5" s="149" t="s">
        <v>316</v>
      </c>
      <c r="B5" s="150" t="s">
        <v>317</v>
      </c>
      <c r="C5" s="150" t="s">
        <v>318</v>
      </c>
      <c r="D5" s="150" t="s">
        <v>319</v>
      </c>
      <c r="E5" s="150" t="s">
        <v>320</v>
      </c>
      <c r="F5" s="150" t="s">
        <v>321</v>
      </c>
      <c r="G5" s="150" t="s">
        <v>322</v>
      </c>
      <c r="H5" s="150" t="s">
        <v>323</v>
      </c>
      <c r="I5" s="150" t="s">
        <v>324</v>
      </c>
      <c r="J5" s="150" t="s">
        <v>325</v>
      </c>
      <c r="K5" s="150" t="s">
        <v>326</v>
      </c>
      <c r="L5" s="150" t="s">
        <v>35</v>
      </c>
      <c r="M5" s="150" t="s">
        <v>327</v>
      </c>
      <c r="N5" s="150" t="s">
        <v>328</v>
      </c>
      <c r="O5" s="149" t="s">
        <v>329</v>
      </c>
      <c r="P5" s="150" t="s">
        <v>330</v>
      </c>
      <c r="Q5" s="150" t="s">
        <v>331</v>
      </c>
      <c r="R5" s="151"/>
      <c r="S5" s="151"/>
      <c r="T5" s="151"/>
      <c r="U5" s="151"/>
      <c r="V5" s="151"/>
      <c r="W5" s="151"/>
      <c r="X5" s="151"/>
      <c r="Y5" s="151"/>
      <c r="Z5" s="151"/>
      <c r="AA5" s="151"/>
    </row>
    <row r="6">
      <c r="A6" s="152">
        <v>1.0</v>
      </c>
      <c r="B6" s="152" t="s">
        <v>332</v>
      </c>
      <c r="C6" s="152">
        <v>4.0</v>
      </c>
      <c r="D6" s="152" t="s">
        <v>333</v>
      </c>
      <c r="E6" s="152" t="s">
        <v>334</v>
      </c>
      <c r="F6" s="152">
        <v>3.0</v>
      </c>
      <c r="G6" s="152" t="s">
        <v>335</v>
      </c>
      <c r="H6" s="152" t="s">
        <v>336</v>
      </c>
      <c r="I6" s="152" t="s">
        <v>337</v>
      </c>
      <c r="J6" s="152" t="s">
        <v>338</v>
      </c>
      <c r="K6" s="152">
        <v>77508.0</v>
      </c>
      <c r="L6" s="152" t="s">
        <v>339</v>
      </c>
      <c r="M6" s="152" t="s">
        <v>340</v>
      </c>
      <c r="N6" s="152" t="s">
        <v>333</v>
      </c>
      <c r="O6" s="152">
        <v>0.0</v>
      </c>
      <c r="P6" s="153" t="s">
        <v>333</v>
      </c>
      <c r="Q6" s="154" t="s">
        <v>333</v>
      </c>
      <c r="R6" s="155"/>
      <c r="S6" s="155"/>
      <c r="T6" s="155"/>
      <c r="U6" s="155"/>
      <c r="V6" s="155"/>
      <c r="W6" s="155"/>
      <c r="X6" s="155"/>
      <c r="Y6" s="155"/>
      <c r="Z6" s="155"/>
      <c r="AA6" s="155"/>
    </row>
    <row r="21">
      <c r="A21" s="156"/>
      <c r="B21" s="156" t="s">
        <v>341</v>
      </c>
      <c r="C21" s="157">
        <f>sum(C6:C20)</f>
        <v>4</v>
      </c>
      <c r="D21" s="103"/>
      <c r="E21" s="103"/>
      <c r="F21" s="157">
        <f>sum(F6:F20)</f>
        <v>3</v>
      </c>
      <c r="G21" s="103"/>
      <c r="H21" s="103"/>
      <c r="I21" s="103"/>
      <c r="J21" s="103"/>
      <c r="K21" s="103"/>
      <c r="L21" s="103"/>
      <c r="M21" s="103"/>
      <c r="N21" s="103"/>
      <c r="O21" s="157">
        <f>sum(O6:O20)</f>
        <v>0</v>
      </c>
      <c r="P21" s="103"/>
      <c r="Q21" s="103"/>
      <c r="R21" s="103"/>
      <c r="S21" s="103"/>
      <c r="T21" s="103"/>
      <c r="U21" s="103"/>
      <c r="V21" s="103"/>
      <c r="W21" s="103"/>
      <c r="X21" s="103"/>
      <c r="Y21" s="103"/>
      <c r="Z21" s="103"/>
      <c r="AA21" s="103"/>
    </row>
  </sheetData>
  <mergeCells count="2">
    <mergeCell ref="A2:E2"/>
    <mergeCell ref="A3:I3"/>
  </mergeCells>
  <conditionalFormatting sqref="F6:F20">
    <cfRule type="cellIs" dxfId="4" priority="1" operator="greaterThan">
      <formula>0</formula>
    </cfRule>
  </conditionalFormatting>
  <conditionalFormatting sqref="F6:F20">
    <cfRule type="cellIs" dxfId="5" priority="2"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2">
      <c r="A2" s="18" t="s">
        <v>342</v>
      </c>
    </row>
    <row r="3" ht="18.75" customHeight="1">
      <c r="A3" s="158" t="s">
        <v>343</v>
      </c>
    </row>
    <row r="7">
      <c r="A7" s="159" t="s">
        <v>344</v>
      </c>
      <c r="B7" s="160">
        <f>COUNTA(A10:A30)</f>
        <v>4</v>
      </c>
      <c r="C7" s="159" t="s">
        <v>345</v>
      </c>
      <c r="D7" s="161"/>
      <c r="E7" s="162">
        <f>sum(B26:Z26)</f>
        <v>3</v>
      </c>
    </row>
    <row r="9">
      <c r="A9" s="163" t="s">
        <v>346</v>
      </c>
      <c r="B9" s="164" t="s">
        <v>347</v>
      </c>
      <c r="C9" s="163" t="s">
        <v>348</v>
      </c>
      <c r="D9" s="164" t="s">
        <v>349</v>
      </c>
      <c r="E9" s="163" t="s">
        <v>350</v>
      </c>
      <c r="F9" s="164" t="s">
        <v>351</v>
      </c>
      <c r="G9" s="163" t="s">
        <v>352</v>
      </c>
      <c r="H9" s="164" t="s">
        <v>353</v>
      </c>
      <c r="I9" s="163" t="s">
        <v>354</v>
      </c>
      <c r="J9" s="164" t="s">
        <v>355</v>
      </c>
      <c r="K9" s="163" t="s">
        <v>356</v>
      </c>
      <c r="L9" s="164" t="s">
        <v>357</v>
      </c>
      <c r="M9" s="163" t="s">
        <v>358</v>
      </c>
      <c r="N9" s="164" t="s">
        <v>359</v>
      </c>
      <c r="O9" s="163" t="s">
        <v>360</v>
      </c>
      <c r="P9" s="164" t="s">
        <v>361</v>
      </c>
      <c r="Q9" s="163" t="s">
        <v>362</v>
      </c>
      <c r="R9" s="164" t="s">
        <v>363</v>
      </c>
      <c r="S9" s="163" t="s">
        <v>364</v>
      </c>
      <c r="T9" s="164" t="s">
        <v>365</v>
      </c>
      <c r="U9" s="163" t="s">
        <v>366</v>
      </c>
      <c r="V9" s="164" t="s">
        <v>367</v>
      </c>
      <c r="W9" s="163" t="s">
        <v>368</v>
      </c>
      <c r="X9" s="164" t="s">
        <v>369</v>
      </c>
      <c r="Y9" s="163" t="s">
        <v>370</v>
      </c>
      <c r="Z9" s="164" t="s">
        <v>371</v>
      </c>
    </row>
    <row r="10">
      <c r="A10" s="165" t="s">
        <v>372</v>
      </c>
      <c r="B10" s="166" t="s">
        <v>373</v>
      </c>
      <c r="C10" s="165"/>
      <c r="D10" s="166"/>
      <c r="E10" s="165"/>
      <c r="F10" s="166"/>
      <c r="G10" s="165"/>
      <c r="H10" s="166"/>
      <c r="I10" s="165"/>
      <c r="J10" s="166"/>
      <c r="K10" s="165"/>
      <c r="L10" s="166"/>
      <c r="M10" s="165"/>
      <c r="N10" s="166"/>
      <c r="O10" s="165"/>
      <c r="P10" s="166"/>
      <c r="Q10" s="165"/>
      <c r="R10" s="166"/>
      <c r="S10" s="165"/>
      <c r="T10" s="166"/>
      <c r="U10" s="165"/>
      <c r="V10" s="166"/>
      <c r="W10" s="165"/>
      <c r="X10" s="166"/>
      <c r="Y10" s="165"/>
      <c r="Z10" s="166"/>
    </row>
    <row r="11">
      <c r="A11" s="165" t="s">
        <v>374</v>
      </c>
      <c r="B11" s="166" t="s">
        <v>375</v>
      </c>
      <c r="C11" s="165"/>
      <c r="D11" s="166"/>
      <c r="E11" s="165"/>
      <c r="F11" s="166"/>
      <c r="G11" s="165"/>
      <c r="H11" s="166"/>
      <c r="I11" s="165"/>
      <c r="J11" s="166"/>
      <c r="K11" s="165"/>
      <c r="L11" s="166"/>
      <c r="M11" s="165"/>
      <c r="N11" s="166"/>
      <c r="O11" s="165"/>
      <c r="P11" s="166"/>
      <c r="Q11" s="165"/>
      <c r="R11" s="166"/>
      <c r="S11" s="165"/>
      <c r="T11" s="166"/>
      <c r="U11" s="165"/>
      <c r="V11" s="166"/>
      <c r="W11" s="165"/>
      <c r="X11" s="166"/>
      <c r="Y11" s="165"/>
      <c r="Z11" s="166"/>
    </row>
    <row r="12">
      <c r="A12" s="165" t="s">
        <v>376</v>
      </c>
      <c r="B12" s="166" t="s">
        <v>377</v>
      </c>
      <c r="C12" s="165"/>
      <c r="D12" s="166"/>
      <c r="E12" s="165"/>
      <c r="F12" s="166"/>
      <c r="G12" s="165"/>
      <c r="H12" s="166"/>
      <c r="I12" s="165"/>
      <c r="J12" s="166"/>
      <c r="K12" s="165"/>
      <c r="L12" s="166"/>
      <c r="M12" s="165"/>
      <c r="N12" s="166"/>
      <c r="O12" s="165"/>
      <c r="P12" s="166"/>
      <c r="Q12" s="165"/>
      <c r="R12" s="166"/>
      <c r="S12" s="165"/>
      <c r="T12" s="166"/>
      <c r="U12" s="165"/>
      <c r="V12" s="166"/>
      <c r="W12" s="165"/>
      <c r="X12" s="166"/>
      <c r="Y12" s="165"/>
      <c r="Z12" s="166"/>
    </row>
    <row r="13">
      <c r="A13" s="165" t="s">
        <v>378</v>
      </c>
      <c r="B13" s="166"/>
      <c r="C13" s="165"/>
      <c r="D13" s="166"/>
      <c r="E13" s="165"/>
      <c r="F13" s="166"/>
      <c r="G13" s="165"/>
      <c r="H13" s="166"/>
      <c r="I13" s="165"/>
      <c r="J13" s="166"/>
      <c r="K13" s="165"/>
      <c r="L13" s="166"/>
      <c r="M13" s="165"/>
      <c r="N13" s="166"/>
      <c r="O13" s="165"/>
      <c r="P13" s="166"/>
      <c r="Q13" s="165"/>
      <c r="R13" s="166"/>
      <c r="S13" s="165"/>
      <c r="T13" s="166"/>
      <c r="U13" s="165"/>
      <c r="V13" s="166"/>
      <c r="W13" s="165"/>
      <c r="X13" s="166"/>
      <c r="Y13" s="165"/>
      <c r="Z13" s="166"/>
    </row>
    <row r="14">
      <c r="A14" s="165"/>
      <c r="B14" s="166"/>
      <c r="C14" s="165"/>
      <c r="D14" s="166"/>
      <c r="E14" s="165"/>
      <c r="F14" s="166"/>
      <c r="G14" s="165"/>
      <c r="H14" s="166"/>
      <c r="I14" s="165"/>
      <c r="J14" s="166"/>
      <c r="K14" s="165"/>
      <c r="L14" s="166"/>
      <c r="M14" s="165"/>
      <c r="N14" s="166"/>
      <c r="O14" s="165"/>
      <c r="P14" s="166"/>
      <c r="Q14" s="165"/>
      <c r="R14" s="166"/>
      <c r="S14" s="165"/>
      <c r="T14" s="166"/>
      <c r="U14" s="165"/>
      <c r="V14" s="166"/>
      <c r="W14" s="165"/>
      <c r="X14" s="166"/>
      <c r="Y14" s="165"/>
      <c r="Z14" s="166"/>
    </row>
    <row r="15">
      <c r="A15" s="165"/>
      <c r="B15" s="166"/>
      <c r="C15" s="165"/>
      <c r="D15" s="166"/>
      <c r="E15" s="165"/>
      <c r="F15" s="166"/>
      <c r="G15" s="165"/>
      <c r="H15" s="166"/>
      <c r="I15" s="165"/>
      <c r="J15" s="166"/>
      <c r="K15" s="165"/>
      <c r="L15" s="166"/>
      <c r="M15" s="165"/>
      <c r="N15" s="166"/>
      <c r="O15" s="165"/>
      <c r="P15" s="166"/>
      <c r="Q15" s="165"/>
      <c r="R15" s="166"/>
      <c r="S15" s="165"/>
      <c r="T15" s="166"/>
      <c r="U15" s="165"/>
      <c r="V15" s="166"/>
      <c r="W15" s="165"/>
      <c r="X15" s="166"/>
      <c r="Y15" s="165"/>
      <c r="Z15" s="166"/>
    </row>
    <row r="16">
      <c r="A16" s="165"/>
      <c r="B16" s="166"/>
      <c r="C16" s="165"/>
      <c r="D16" s="166"/>
      <c r="E16" s="165"/>
      <c r="F16" s="166"/>
      <c r="G16" s="165"/>
      <c r="H16" s="166"/>
      <c r="I16" s="165"/>
      <c r="J16" s="166"/>
      <c r="K16" s="165"/>
      <c r="L16" s="166"/>
      <c r="M16" s="165"/>
      <c r="N16" s="166"/>
      <c r="O16" s="165"/>
      <c r="P16" s="166"/>
      <c r="Q16" s="165"/>
      <c r="R16" s="166"/>
      <c r="S16" s="165"/>
      <c r="T16" s="166"/>
      <c r="U16" s="165"/>
      <c r="V16" s="166"/>
      <c r="W16" s="165"/>
      <c r="X16" s="166"/>
      <c r="Y16" s="165"/>
      <c r="Z16" s="166"/>
    </row>
    <row r="17">
      <c r="A17" s="165"/>
      <c r="B17" s="166"/>
      <c r="C17" s="165"/>
      <c r="D17" s="166"/>
      <c r="E17" s="165"/>
      <c r="F17" s="166"/>
      <c r="G17" s="165"/>
      <c r="H17" s="166"/>
      <c r="I17" s="165"/>
      <c r="J17" s="166"/>
      <c r="K17" s="165"/>
      <c r="L17" s="166"/>
      <c r="M17" s="165"/>
      <c r="N17" s="166"/>
      <c r="O17" s="165"/>
      <c r="P17" s="166"/>
      <c r="Q17" s="165"/>
      <c r="R17" s="166"/>
      <c r="S17" s="165"/>
      <c r="T17" s="166"/>
      <c r="U17" s="165"/>
      <c r="V17" s="166"/>
      <c r="W17" s="165"/>
      <c r="X17" s="166"/>
      <c r="Y17" s="165"/>
      <c r="Z17" s="166"/>
    </row>
    <row r="18">
      <c r="A18" s="165"/>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row>
    <row r="19">
      <c r="A19" s="165"/>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row>
    <row r="20">
      <c r="A20" s="165"/>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row>
    <row r="21">
      <c r="A21" s="165"/>
      <c r="B21" s="167"/>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row>
    <row r="22">
      <c r="A22" s="165"/>
      <c r="B22" s="167"/>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row>
    <row r="23">
      <c r="A23" s="165"/>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row>
    <row r="24">
      <c r="A24" s="165"/>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row>
    <row r="25">
      <c r="A25" s="165"/>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row>
    <row r="26">
      <c r="A26" s="152"/>
      <c r="B26" s="168">
        <f t="shared" ref="B26:Z26" si="1">8-Countblank(B10:B17)</f>
        <v>3</v>
      </c>
      <c r="C26" s="168">
        <f t="shared" si="1"/>
        <v>0</v>
      </c>
      <c r="D26" s="168">
        <f t="shared" si="1"/>
        <v>0</v>
      </c>
      <c r="E26" s="168">
        <f t="shared" si="1"/>
        <v>0</v>
      </c>
      <c r="F26" s="168">
        <f t="shared" si="1"/>
        <v>0</v>
      </c>
      <c r="G26" s="168">
        <f t="shared" si="1"/>
        <v>0</v>
      </c>
      <c r="H26" s="168">
        <f t="shared" si="1"/>
        <v>0</v>
      </c>
      <c r="I26" s="168">
        <f t="shared" si="1"/>
        <v>0</v>
      </c>
      <c r="J26" s="168">
        <f t="shared" si="1"/>
        <v>0</v>
      </c>
      <c r="K26" s="168">
        <f t="shared" si="1"/>
        <v>0</v>
      </c>
      <c r="L26" s="168">
        <f t="shared" si="1"/>
        <v>0</v>
      </c>
      <c r="M26" s="168">
        <f t="shared" si="1"/>
        <v>0</v>
      </c>
      <c r="N26" s="168">
        <f t="shared" si="1"/>
        <v>0</v>
      </c>
      <c r="O26" s="168">
        <f t="shared" si="1"/>
        <v>0</v>
      </c>
      <c r="P26" s="168">
        <f t="shared" si="1"/>
        <v>0</v>
      </c>
      <c r="Q26" s="168">
        <f t="shared" si="1"/>
        <v>0</v>
      </c>
      <c r="R26" s="168">
        <f t="shared" si="1"/>
        <v>0</v>
      </c>
      <c r="S26" s="168">
        <f t="shared" si="1"/>
        <v>0</v>
      </c>
      <c r="T26" s="168">
        <f t="shared" si="1"/>
        <v>0</v>
      </c>
      <c r="U26" s="168">
        <f t="shared" si="1"/>
        <v>0</v>
      </c>
      <c r="V26" s="168">
        <f t="shared" si="1"/>
        <v>0</v>
      </c>
      <c r="W26" s="168">
        <f t="shared" si="1"/>
        <v>0</v>
      </c>
      <c r="X26" s="168">
        <f t="shared" si="1"/>
        <v>0</v>
      </c>
      <c r="Y26" s="168">
        <f t="shared" si="1"/>
        <v>0</v>
      </c>
      <c r="Z26" s="168">
        <f t="shared" si="1"/>
        <v>0</v>
      </c>
    </row>
    <row r="27">
      <c r="A27" s="152"/>
    </row>
    <row r="28">
      <c r="A28" s="152"/>
    </row>
  </sheetData>
  <mergeCells count="2">
    <mergeCell ref="A2:E2"/>
    <mergeCell ref="A3:K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